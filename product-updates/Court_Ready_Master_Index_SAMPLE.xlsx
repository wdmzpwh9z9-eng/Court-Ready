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vent Index" sheetId="2" state="visible" r:id="rId2"/>
    <sheet name="Exhibit Index" sheetId="3" state="visible" r:id="rId3"/>
    <sheet name="Communication Log" sheetId="4" state="visible" r:id="rId4"/>
    <sheet name="Exchange Log" sheetId="5" state="visible" r:id="rId5"/>
    <sheet name="Medical" sheetId="6" state="visible" r:id="rId6"/>
    <sheet name="School" sheetId="7" state="visible" r:id="rId7"/>
    <sheet name="Expense" sheetId="8" state="visible" r:id="rId8"/>
    <sheet name="Witness" sheetId="9" state="visible" r:id="rId9"/>
    <sheet name="Custody Schedule" sheetId="10" state="visible" r:id="rId10"/>
    <sheet name="Attorney Log" sheetId="11" state="visible" r:id="rId11"/>
    <sheet name="Lists &amp; Setu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A7167"/>
      <sz val="9"/>
    </font>
    <font>
      <name val="Arial"/>
      <b val="1"/>
      <color rgb="001D4435"/>
      <sz val="10"/>
    </font>
    <font>
      <name val="Arial"/>
      <color rgb="002E2A24"/>
      <sz val="10"/>
    </font>
    <font>
      <name val="Arial"/>
      <b val="1"/>
      <color rgb="001D4435"/>
      <sz val="20"/>
    </font>
    <font>
      <name val="Arial"/>
      <b val="1"/>
      <color rgb="00FFFFFF"/>
      <sz val="9"/>
    </font>
    <font>
      <name val="Arial"/>
      <i val="1"/>
      <color rgb="007A7167"/>
      <sz val="10"/>
    </font>
    <font>
      <name val="Arial"/>
      <color rgb="00C25A34"/>
      <sz val="10"/>
      <u val="single"/>
    </font>
    <font>
      <name val="Arial"/>
      <b val="1"/>
      <color rgb="008C2F26"/>
      <sz val="9"/>
    </font>
    <font>
      <name val="Arial"/>
      <b val="1"/>
      <i val="1"/>
      <color rgb="008C2F26"/>
      <sz val="9"/>
    </font>
  </fonts>
  <fills count="6">
    <fill>
      <patternFill/>
    </fill>
    <fill>
      <patternFill patternType="gray125"/>
    </fill>
    <fill>
      <patternFill patternType="solid">
        <fgColor rgb="001D4435"/>
      </patternFill>
    </fill>
    <fill>
      <patternFill patternType="solid">
        <fgColor rgb="00F5EEE2"/>
      </patternFill>
    </fill>
    <fill>
      <patternFill patternType="solid">
        <fgColor rgb="00E4ED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D9C9"/>
      </left>
      <right style="thin">
        <color rgb="00E2D9C9"/>
      </right>
      <top style="thin">
        <color rgb="00E2D9C9"/>
      </top>
      <bottom style="thin">
        <color rgb="00E2D9C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4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5" borderId="0" pivotButton="0" quotePrefix="0" xfId="0"/>
    <xf numFmtId="0" fontId="6" fillId="2" borderId="1" applyAlignment="1" pivotButton="0" quotePrefix="0" xfId="0">
      <alignment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7" fillId="0" borderId="1" pivotButton="0" quotePrefix="0" xfId="0"/>
    <xf numFmtId="164" fontId="0" fillId="0" borderId="0" pivotButton="0" quotePrefix="0" xfId="0"/>
    <xf numFmtId="0" fontId="6" fillId="2" borderId="1" pivotButton="0" quotePrefix="0" xfId="0"/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4435"/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12" customWidth="1" min="4" max="4"/>
  </cols>
  <sheetData>
    <row r="1" ht="24" customHeight="1">
      <c r="A1" s="1" t="inlineStr">
        <is>
          <t>Court Ready™ · Dashboard</t>
        </is>
      </c>
    </row>
    <row r="2">
      <c r="A2" s="3" t="inlineStr">
        <is>
          <t>Fills itself from the other tabs. Never type here.</t>
        </is>
      </c>
    </row>
    <row r="4">
      <c r="A4" s="5" t="inlineStr">
        <is>
          <t>YOUR RECORD AT A GLANCE</t>
        </is>
      </c>
    </row>
    <row r="5" ht="26" customHeight="1">
      <c r="A5" s="6" t="inlineStr">
        <is>
          <t>Total events documented</t>
        </is>
      </c>
      <c r="B5" s="7">
        <f>COUNTA('Event Index'!A5:A1000)</f>
        <v/>
      </c>
      <c r="C5" s="6" t="inlineStr">
        <is>
          <t>Exhibits logged</t>
        </is>
      </c>
      <c r="D5" s="7">
        <f>COUNTA('Exhibit Index'!A5:A1000)</f>
        <v/>
      </c>
    </row>
    <row r="6" ht="26" customHeight="1">
      <c r="A6" s="6" t="inlineStr">
        <is>
          <t>Events with an exhibit</t>
        </is>
      </c>
      <c r="B6" s="7">
        <f>COUNTIF('Event Index'!R5:R1000,"Yes")</f>
        <v/>
      </c>
      <c r="C6" s="6" t="inlineStr">
        <is>
          <t>Reimbursable expenses ($)</t>
        </is>
      </c>
      <c r="D6" s="7">
        <f>SUM(Expense!G5:G1000)</f>
        <v/>
      </c>
    </row>
    <row r="7" ht="26" customHeight="1">
      <c r="A7" s="6" t="inlineStr">
        <is>
          <t>Parent B notified (Yes)</t>
        </is>
      </c>
      <c r="B7" s="7">
        <f>COUNTIF('Event Index'!I5:I1000,"Yes")</f>
        <v/>
      </c>
      <c r="C7" s="6" t="inlineStr">
        <is>
          <t>Open follow-ups</t>
        </is>
      </c>
      <c r="D7" s="7">
        <f>COUNTIF('Event Index'!L5:L1000,"Yes")</f>
        <v/>
      </c>
    </row>
    <row r="9">
      <c r="A9" s="5" t="inlineStr">
        <is>
          <t>COVERAGE BY BEST-INTERESTS FACTOR</t>
        </is>
      </c>
      <c r="B9" s="8" t="inlineStr">
        <is>
          <t>Primary + Also</t>
        </is>
      </c>
    </row>
    <row r="10">
      <c r="A10" s="9" t="inlineStr">
        <is>
          <t>ST — Stability &amp; Routine</t>
        </is>
      </c>
      <c r="B10" s="10">
        <f>COUNTIF('Event Index'!$P$5:$P$1000,"ST — Stability &amp; Routine")+COUNTIF('Event Index'!$Q$5:$Q$1000,"ST — Stability &amp; Routine")</f>
        <v/>
      </c>
    </row>
    <row r="11">
      <c r="A11" s="11" t="inlineStr">
        <is>
          <t>PI — Parental Involvement</t>
        </is>
      </c>
      <c r="B11" s="10">
        <f>COUNTIF('Event Index'!$P$5:$P$1000,"PI — Parental Involvement")+COUNTIF('Event Index'!$Q$5:$Q$1000,"PI — Parental Involvement")</f>
        <v/>
      </c>
    </row>
    <row r="12">
      <c r="A12" s="9" t="inlineStr">
        <is>
          <t>HS — Health &amp; Safety</t>
        </is>
      </c>
      <c r="B12" s="10">
        <f>COUNTIF('Event Index'!$P$5:$P$1000,"HS — Health &amp; Safety")+COUNTIF('Event Index'!$Q$5:$Q$1000,"HS — Health &amp; Safety")</f>
        <v/>
      </c>
    </row>
    <row r="13">
      <c r="A13" s="11" t="inlineStr">
        <is>
          <t>CC — Co-Parenting Conduct</t>
        </is>
      </c>
      <c r="B13" s="10">
        <f>COUNTIF('Event Index'!$P$5:$P$1000,"CC — Co-Parenting Conduct")+COUNTIF('Event Index'!$Q$5:$Q$1000,"CC — Co-Parenting Conduct")</f>
        <v/>
      </c>
    </row>
    <row r="14">
      <c r="A14" s="9" t="inlineStr">
        <is>
          <t>EW — Emotional Wellbeing</t>
        </is>
      </c>
      <c r="B14" s="10">
        <f>COUNTIF('Event Index'!$P$5:$P$1000,"EW — Emotional Wellbeing")+COUNTIF('Event Index'!$Q$5:$Q$1000,"EW — Emotional Wellbeing")</f>
        <v/>
      </c>
    </row>
    <row r="15">
      <c r="A15" s="11" t="inlineStr">
        <is>
          <t>ED — Education</t>
        </is>
      </c>
      <c r="B15" s="10">
        <f>COUNTIF('Event Index'!$P$5:$P$1000,"ED — Education")+COUNTIF('Event Index'!$Q$5:$Q$1000,"ED — Education")</f>
        <v/>
      </c>
    </row>
    <row r="16">
      <c r="A16" s="9" t="inlineStr">
        <is>
          <t>FS — Financial Support</t>
        </is>
      </c>
      <c r="B16" s="10">
        <f>COUNTIF('Event Index'!$P$5:$P$1000,"FS — Financial Support")+COUNTIF('Event Index'!$Q$5:$Q$1000,"FS — Financial Support")</f>
        <v/>
      </c>
    </row>
    <row r="17">
      <c r="A17" s="11" t="inlineStr">
        <is>
          <t>PF — Parental Fitness</t>
        </is>
      </c>
      <c r="B17" s="10">
        <f>COUNTIF('Event Index'!$P$5:$P$1000,"PF — Parental Fitness")+COUNTIF('Event Index'!$Q$5:$Q$1000,"PF — Parental Fitness")</f>
        <v/>
      </c>
    </row>
    <row r="19">
      <c r="A19" s="8" t="inlineStr">
        <is>
          <t>A factor showing 0–1 is thin coverage — that's where to document next (Manual, Part 4).</t>
        </is>
      </c>
    </row>
    <row r="21">
      <c r="A21" s="8" t="inlineStr">
        <is>
          <t>Court Ready™ · Custody Documentation Intelligence System · Vejovis Intelligence Co.™ — organizational framework, not legal advice.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25A34"/>
    <outlinePr summaryBelow="1" summaryRight="1"/>
    <pageSetUpPr/>
  </sheetPr>
  <dimension ref="A1:S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5" customWidth="1" min="4" max="4"/>
    <col width="22" customWidth="1" min="5" max="5"/>
    <col width="15" customWidth="1" min="6" max="6"/>
    <col width="15" customWidth="1" min="7" max="7"/>
    <col width="13" customWidth="1" min="8" max="8"/>
    <col width="12" customWidth="1" min="9" max="9"/>
    <col width="13" customWidth="1" min="10" max="10"/>
    <col width="12" customWidth="1" min="11" max="11"/>
    <col width="12" customWidth="1" min="12" max="12"/>
    <col width="22" customWidth="1" min="13" max="13"/>
    <col width="12" customWidth="1" min="14" max="14"/>
    <col width="46" customWidth="1" min="15" max="15"/>
    <col width="24" customWidth="1" min="16" max="16"/>
    <col width="24" customWidth="1" min="17" max="17"/>
    <col width="12" customWidth="1" min="18" max="18"/>
    <col width="30" customWidth="1" min="19" max="19"/>
  </cols>
  <sheetData>
    <row r="1" ht="24" customHeight="1">
      <c r="A1" s="1" t="inlineStr">
        <is>
          <t>Court Ready™ · Event Index</t>
        </is>
      </c>
    </row>
    <row r="2">
      <c r="A2" s="3" t="inlineStr">
        <is>
          <t>The spine of your case — one row per event. Paste the row the Case Record Form generates, or type it. Columns match the form exactly.</t>
        </is>
      </c>
    </row>
    <row r="3">
      <c r="A3" s="21" t="inlineStr">
        <is>
          <t>SAMPLE DATA — a lived-in example for reference. Your real workbook starts empty; delete these rows to begin.</t>
        </is>
      </c>
    </row>
    <row r="4">
      <c r="A4" s="12" t="inlineStr">
        <is>
          <t>Event ID</t>
        </is>
      </c>
      <c r="B4" s="12" t="inlineStr">
        <is>
          <t>Date</t>
        </is>
      </c>
      <c r="C4" s="12" t="inlineStr">
        <is>
          <t>Time</t>
        </is>
      </c>
      <c r="D4" s="12" t="inlineStr">
        <is>
          <t>Event Type</t>
        </is>
      </c>
      <c r="E4" s="12" t="inlineStr">
        <is>
          <t>Location</t>
        </is>
      </c>
      <c r="F4" s="12" t="inlineStr">
        <is>
          <t>Children Present</t>
        </is>
      </c>
      <c r="G4" s="12" t="inlineStr">
        <is>
          <t>Who Was Present</t>
        </is>
      </c>
      <c r="H4" s="12" t="inlineStr">
        <is>
          <t>Witnesses</t>
        </is>
      </c>
      <c r="I4" s="12" t="inlineStr">
        <is>
          <t>Parent B Notified</t>
        </is>
      </c>
      <c r="J4" s="12" t="inlineStr">
        <is>
          <t>Method</t>
        </is>
      </c>
      <c r="K4" s="12" t="inlineStr">
        <is>
          <t>Notification Time</t>
        </is>
      </c>
      <c r="L4" s="12" t="inlineStr">
        <is>
          <t>Follow-Up Needed</t>
        </is>
      </c>
      <c r="M4" s="12" t="inlineStr">
        <is>
          <t>Follow-Up Action</t>
        </is>
      </c>
      <c r="N4" s="12" t="inlineStr">
        <is>
          <t>Follow-Up By</t>
        </is>
      </c>
      <c r="O4" s="12" t="inlineStr">
        <is>
          <t>Summary — facts only</t>
        </is>
      </c>
      <c r="P4" s="12" t="inlineStr">
        <is>
          <t>Primary Factor</t>
        </is>
      </c>
      <c r="Q4" s="12" t="inlineStr">
        <is>
          <t>Also Supports</t>
        </is>
      </c>
      <c r="R4" s="12" t="inlineStr">
        <is>
          <t>Exhibit Attached</t>
        </is>
      </c>
      <c r="S4" s="12" t="inlineStr">
        <is>
          <t>Event Folder Name</t>
        </is>
      </c>
    </row>
    <row r="5">
      <c r="A5" s="22" t="inlineStr">
        <is>
          <t>EVT-0001</t>
        </is>
      </c>
      <c r="B5" s="22" t="inlineStr">
        <is>
          <t>2026-07-18</t>
        </is>
      </c>
      <c r="C5" s="22" t="inlineStr">
        <is>
          <t>5:00 PM</t>
        </is>
      </c>
      <c r="D5" s="22" t="inlineStr">
        <is>
          <t>Exchange</t>
        </is>
      </c>
      <c r="E5" s="22" t="inlineStr">
        <is>
          <t>Exchange point — Parent A residence</t>
        </is>
      </c>
      <c r="F5" s="22" t="inlineStr">
        <is>
          <t>Emma</t>
        </is>
      </c>
      <c r="G5" s="22" t="inlineStr">
        <is>
          <t>Parent A; Parent B; Emma</t>
        </is>
      </c>
      <c r="H5" s="22" t="inlineStr">
        <is>
          <t>None</t>
        </is>
      </c>
      <c r="I5" s="22" t="inlineStr">
        <is>
          <t>Yes</t>
        </is>
      </c>
      <c r="J5" s="22" t="inlineStr">
        <is>
          <t>Text</t>
        </is>
      </c>
      <c r="K5" s="22" t="inlineStr">
        <is>
          <t>5:26 PM</t>
        </is>
      </c>
      <c r="L5" s="22" t="inlineStr">
        <is>
          <t>No</t>
        </is>
      </c>
      <c r="M5" s="22" t="inlineStr"/>
      <c r="N5" s="22" t="inlineStr"/>
      <c r="O5" s="22" t="inlineStr">
        <is>
          <t>Exchange scheduled 5:00 PM per court order. Parent B arrived 5:22 PM, no prior notice. Children transferred 5:25 PM.</t>
        </is>
      </c>
      <c r="P5" s="22" t="inlineStr">
        <is>
          <t>CC — Co-Parenting Conduct</t>
        </is>
      </c>
      <c r="Q5" s="22" t="inlineStr"/>
      <c r="R5" s="22" t="inlineStr">
        <is>
          <t>Yes</t>
        </is>
      </c>
      <c r="S5" s="22" t="inlineStr">
        <is>
          <t>EVT-0001_2026-07-18_Exchange</t>
        </is>
      </c>
    </row>
    <row r="6">
      <c r="A6" s="22" t="inlineStr">
        <is>
          <t>EVT-0002</t>
        </is>
      </c>
      <c r="B6" s="22" t="inlineStr">
        <is>
          <t>2026-07-19</t>
        </is>
      </c>
      <c r="C6" s="22" t="inlineStr">
        <is>
          <t>2:30 PM</t>
        </is>
      </c>
      <c r="D6" s="22" t="inlineStr">
        <is>
          <t>Medical</t>
        </is>
      </c>
      <c r="E6" s="22" t="inlineStr">
        <is>
          <t>Pediatric clinic — Dr. Patel</t>
        </is>
      </c>
      <c r="F6" s="22" t="inlineStr">
        <is>
          <t>Emma</t>
        </is>
      </c>
      <c r="G6" s="22" t="inlineStr">
        <is>
          <t>Parent A; Emma</t>
        </is>
      </c>
      <c r="H6" s="22" t="inlineStr">
        <is>
          <t>None</t>
        </is>
      </c>
      <c r="I6" s="22" t="inlineStr">
        <is>
          <t>Yes</t>
        </is>
      </c>
      <c r="J6" s="22" t="inlineStr">
        <is>
          <t>Co-Parenting App</t>
        </is>
      </c>
      <c r="K6" s="22" t="inlineStr">
        <is>
          <t>3:05 PM</t>
        </is>
      </c>
      <c r="L6" s="22" t="inlineStr">
        <is>
          <t>No</t>
        </is>
      </c>
      <c r="M6" s="22" t="inlineStr"/>
      <c r="N6" s="22" t="inlineStr"/>
      <c r="O6" s="22" t="inlineStr">
        <is>
          <t>Well-child visit. Provider advised continue current care; next visit in 6 months. Co-pay $25.</t>
        </is>
      </c>
      <c r="P6" s="22" t="inlineStr">
        <is>
          <t>HS — Health &amp; Safety</t>
        </is>
      </c>
      <c r="Q6" s="22" t="inlineStr"/>
      <c r="R6" s="22" t="inlineStr">
        <is>
          <t>Yes</t>
        </is>
      </c>
      <c r="S6" s="22" t="inlineStr">
        <is>
          <t>EVT-0002_2026-07-19_Medical</t>
        </is>
      </c>
    </row>
    <row r="7">
      <c r="A7" s="22" t="inlineStr">
        <is>
          <t>EVT-0003</t>
        </is>
      </c>
      <c r="B7" s="22" t="inlineStr">
        <is>
          <t>2026-07-24</t>
        </is>
      </c>
      <c r="C7" s="22" t="inlineStr">
        <is>
          <t>4:12 PM</t>
        </is>
      </c>
      <c r="D7" s="22" t="inlineStr">
        <is>
          <t>Communication</t>
        </is>
      </c>
      <c r="E7" s="22" t="inlineStr">
        <is>
          <t>Co-parenting app</t>
        </is>
      </c>
      <c r="F7" s="22" t="inlineStr">
        <is>
          <t>Emma</t>
        </is>
      </c>
      <c r="G7" s="22" t="inlineStr">
        <is>
          <t>Parent A; Parent B</t>
        </is>
      </c>
      <c r="H7" s="22" t="inlineStr">
        <is>
          <t>None</t>
        </is>
      </c>
      <c r="I7" s="22" t="inlineStr">
        <is>
          <t>N/A</t>
        </is>
      </c>
      <c r="J7" s="22" t="inlineStr">
        <is>
          <t>Co-Parenting App</t>
        </is>
      </c>
      <c r="K7" s="22" t="inlineStr"/>
      <c r="L7" s="22" t="inlineStr">
        <is>
          <t>Yes</t>
        </is>
      </c>
      <c r="M7" s="22" t="inlineStr">
        <is>
          <t>Await Parent B response re: Friday swap</t>
        </is>
      </c>
      <c r="N7" s="22" t="inlineStr">
        <is>
          <t>2026-07-26</t>
        </is>
      </c>
      <c r="O7" s="22" t="inlineStr">
        <is>
          <t>Parent A requested a one-time Friday exchange change to 6:00 PM. Message sent 4:12 PM. No response by follow-up date.</t>
        </is>
      </c>
      <c r="P7" s="22" t="inlineStr">
        <is>
          <t>CC — Co-Parenting Conduct</t>
        </is>
      </c>
      <c r="Q7" s="22" t="inlineStr"/>
      <c r="R7" s="22" t="inlineStr">
        <is>
          <t>Yes</t>
        </is>
      </c>
      <c r="S7" s="22" t="inlineStr">
        <is>
          <t>EVT-0003_2026-07-24_Communication</t>
        </is>
      </c>
    </row>
    <row r="8">
      <c r="A8" s="22" t="inlineStr">
        <is>
          <t>EVT-0004</t>
        </is>
      </c>
      <c r="B8" s="22" t="inlineStr">
        <is>
          <t>2026-07-25</t>
        </is>
      </c>
      <c r="C8" s="22" t="inlineStr">
        <is>
          <t>5:00 PM</t>
        </is>
      </c>
      <c r="D8" s="22" t="inlineStr">
        <is>
          <t>Exchange</t>
        </is>
      </c>
      <c r="E8" s="22" t="inlineStr">
        <is>
          <t>Exchange point — Parent A residence</t>
        </is>
      </c>
      <c r="F8" s="22" t="inlineStr">
        <is>
          <t>Emma</t>
        </is>
      </c>
      <c r="G8" s="22" t="inlineStr">
        <is>
          <t>Parent A; Parent B; Emma</t>
        </is>
      </c>
      <c r="H8" s="22" t="inlineStr">
        <is>
          <t>None</t>
        </is>
      </c>
      <c r="I8" s="22" t="inlineStr">
        <is>
          <t>Yes</t>
        </is>
      </c>
      <c r="J8" s="22" t="inlineStr">
        <is>
          <t>Text</t>
        </is>
      </c>
      <c r="K8" s="22" t="inlineStr">
        <is>
          <t>5:02 PM</t>
        </is>
      </c>
      <c r="L8" s="22" t="inlineStr">
        <is>
          <t>No</t>
        </is>
      </c>
      <c r="M8" s="22" t="inlineStr"/>
      <c r="N8" s="22" t="inlineStr"/>
      <c r="O8" s="22" t="inlineStr">
        <is>
          <t>Exchange completed on time at 5:00 PM. Both parents present. No issues.</t>
        </is>
      </c>
      <c r="P8" s="22" t="inlineStr">
        <is>
          <t>ST — Stability &amp; Routine</t>
        </is>
      </c>
      <c r="Q8" s="22" t="inlineStr"/>
      <c r="R8" s="22" t="inlineStr">
        <is>
          <t>No</t>
        </is>
      </c>
      <c r="S8" s="22" t="inlineStr">
        <is>
          <t>EVT-0004_2026-07-25_Exchange</t>
        </is>
      </c>
    </row>
    <row r="9">
      <c r="A9" s="22" t="inlineStr">
        <is>
          <t>EVT-0005</t>
        </is>
      </c>
      <c r="B9" s="22" t="inlineStr">
        <is>
          <t>2026-08-01</t>
        </is>
      </c>
      <c r="C9" s="22" t="inlineStr">
        <is>
          <t>5:00 PM</t>
        </is>
      </c>
      <c r="D9" s="22" t="inlineStr">
        <is>
          <t>Exchange</t>
        </is>
      </c>
      <c r="E9" s="22" t="inlineStr">
        <is>
          <t>Exchange point — Parent A residence</t>
        </is>
      </c>
      <c r="F9" s="22" t="inlineStr">
        <is>
          <t>Emma</t>
        </is>
      </c>
      <c r="G9" s="22" t="inlineStr">
        <is>
          <t>Parent A; Parent B; Emma</t>
        </is>
      </c>
      <c r="H9" s="22" t="inlineStr">
        <is>
          <t>Jane Neighbor</t>
        </is>
      </c>
      <c r="I9" s="22" t="inlineStr">
        <is>
          <t>Yes</t>
        </is>
      </c>
      <c r="J9" s="22" t="inlineStr">
        <is>
          <t>Text</t>
        </is>
      </c>
      <c r="K9" s="22" t="inlineStr">
        <is>
          <t>5:40 PM</t>
        </is>
      </c>
      <c r="L9" s="22" t="inlineStr">
        <is>
          <t>Yes</t>
        </is>
      </c>
      <c r="M9" s="22" t="inlineStr">
        <is>
          <t>Log with attorney</t>
        </is>
      </c>
      <c r="N9" s="22" t="inlineStr">
        <is>
          <t>2026-08-04</t>
        </is>
      </c>
      <c r="O9" s="22" t="inlineStr">
        <is>
          <t>Exchange scheduled 5:00 PM. Parent B arrived 5:35 PM, no prior notice. Child visibly upset. Transferred 5:38 PM.</t>
        </is>
      </c>
      <c r="P9" s="22" t="inlineStr">
        <is>
          <t>CC — Co-Parenting Conduct</t>
        </is>
      </c>
      <c r="Q9" s="22" t="inlineStr">
        <is>
          <t>EW — Emotional Wellbeing</t>
        </is>
      </c>
      <c r="R9" s="22" t="inlineStr">
        <is>
          <t>Yes</t>
        </is>
      </c>
      <c r="S9" s="22" t="inlineStr">
        <is>
          <t>EVT-0005_2026-08-01_Exchange</t>
        </is>
      </c>
    </row>
    <row r="10">
      <c r="A10" s="22" t="inlineStr">
        <is>
          <t>EVT-0006</t>
        </is>
      </c>
      <c r="B10" s="22" t="inlineStr">
        <is>
          <t>2026-08-05</t>
        </is>
      </c>
      <c r="C10" s="22" t="inlineStr">
        <is>
          <t>3:30 PM</t>
        </is>
      </c>
      <c r="D10" s="22" t="inlineStr">
        <is>
          <t>School</t>
        </is>
      </c>
      <c r="E10" s="22" t="inlineStr">
        <is>
          <t>Lincoln Elementary — Ms. Rivera</t>
        </is>
      </c>
      <c r="F10" s="22" t="inlineStr">
        <is>
          <t>Emma</t>
        </is>
      </c>
      <c r="G10" s="22" t="inlineStr">
        <is>
          <t>Parent A</t>
        </is>
      </c>
      <c r="H10" s="22" t="inlineStr">
        <is>
          <t>None</t>
        </is>
      </c>
      <c r="I10" s="22" t="inlineStr">
        <is>
          <t>Yes</t>
        </is>
      </c>
      <c r="J10" s="22" t="inlineStr">
        <is>
          <t>Email</t>
        </is>
      </c>
      <c r="K10" s="22" t="inlineStr">
        <is>
          <t>4:00 PM</t>
        </is>
      </c>
      <c r="L10" s="22" t="inlineStr">
        <is>
          <t>No</t>
        </is>
      </c>
      <c r="M10" s="22" t="inlineStr"/>
      <c r="N10" s="22" t="inlineStr"/>
      <c r="O10" s="22" t="inlineStr">
        <is>
          <t>Parent-teacher conference. Emma reading above grade level. Both parents invited; Parent A attended, Parent B did not.</t>
        </is>
      </c>
      <c r="P10" s="22" t="inlineStr">
        <is>
          <t>ED — Education</t>
        </is>
      </c>
      <c r="Q10" s="22" t="inlineStr">
        <is>
          <t>PI — Parental Involvement</t>
        </is>
      </c>
      <c r="R10" s="22" t="inlineStr">
        <is>
          <t>Yes</t>
        </is>
      </c>
      <c r="S10" s="22" t="inlineStr">
        <is>
          <t>EVT-0006_2026-08-05_School</t>
        </is>
      </c>
    </row>
    <row r="11">
      <c r="A11" s="22" t="inlineStr">
        <is>
          <t>EVT-0007</t>
        </is>
      </c>
      <c r="B11" s="22" t="inlineStr">
        <is>
          <t>2026-08-08</t>
        </is>
      </c>
      <c r="C11" s="22" t="inlineStr"/>
      <c r="D11" s="22" t="inlineStr">
        <is>
          <t>Expense</t>
        </is>
      </c>
      <c r="E11" s="22" t="inlineStr">
        <is>
          <t>—</t>
        </is>
      </c>
      <c r="F11" s="22" t="inlineStr">
        <is>
          <t>Emma</t>
        </is>
      </c>
      <c r="G11" s="22" t="inlineStr">
        <is>
          <t>Parent A</t>
        </is>
      </c>
      <c r="H11" s="22" t="inlineStr">
        <is>
          <t>None</t>
        </is>
      </c>
      <c r="I11" s="22" t="inlineStr">
        <is>
          <t>Yes</t>
        </is>
      </c>
      <c r="J11" s="22" t="inlineStr">
        <is>
          <t>Co-Parenting App</t>
        </is>
      </c>
      <c r="K11" s="22" t="inlineStr"/>
      <c r="L11" s="22" t="inlineStr">
        <is>
          <t>Yes</t>
        </is>
      </c>
      <c r="M11" s="22" t="inlineStr">
        <is>
          <t>Request 50% reimbursement</t>
        </is>
      </c>
      <c r="N11" s="22" t="inlineStr">
        <is>
          <t>2026-08-22</t>
        </is>
      </c>
      <c r="O11" s="22" t="inlineStr">
        <is>
          <t>Fall soccer registration fee $120 paid by Parent A. Reimbursement request sent to Parent B per order (activities split 50/50).</t>
        </is>
      </c>
      <c r="P11" s="22" t="inlineStr">
        <is>
          <t>FS — Financial Support</t>
        </is>
      </c>
      <c r="Q11" s="22" t="inlineStr"/>
      <c r="R11" s="22" t="inlineStr">
        <is>
          <t>Yes</t>
        </is>
      </c>
      <c r="S11" s="22" t="inlineStr">
        <is>
          <t>EVT-0007_2026-08-08_Expense</t>
        </is>
      </c>
    </row>
    <row r="12">
      <c r="A12" s="22" t="inlineStr">
        <is>
          <t>EVT-0008</t>
        </is>
      </c>
      <c r="B12" s="22" t="inlineStr">
        <is>
          <t>2026-08-12</t>
        </is>
      </c>
      <c r="C12" s="22" t="inlineStr">
        <is>
          <t>6:15 PM</t>
        </is>
      </c>
      <c r="D12" s="22" t="inlineStr">
        <is>
          <t>Incident</t>
        </is>
      </c>
      <c r="E12" s="22" t="inlineStr">
        <is>
          <t>Parent A residence</t>
        </is>
      </c>
      <c r="F12" s="22" t="inlineStr">
        <is>
          <t>Emma</t>
        </is>
      </c>
      <c r="G12" s="22" t="inlineStr">
        <is>
          <t>Parent A; Emma</t>
        </is>
      </c>
      <c r="H12" s="22" t="inlineStr">
        <is>
          <t>None</t>
        </is>
      </c>
      <c r="I12" s="22" t="inlineStr">
        <is>
          <t>Yes</t>
        </is>
      </c>
      <c r="J12" s="22" t="inlineStr">
        <is>
          <t>Text</t>
        </is>
      </c>
      <c r="K12" s="22" t="inlineStr">
        <is>
          <t>6:40 PM</t>
        </is>
      </c>
      <c r="L12" s="22" t="inlineStr">
        <is>
          <t>Yes</t>
        </is>
      </c>
      <c r="M12" s="22" t="inlineStr">
        <is>
          <t>Confirm inhaler returned</t>
        </is>
      </c>
      <c r="N12" s="22" t="inlineStr">
        <is>
          <t>2026-08-13</t>
        </is>
      </c>
      <c r="O12" s="22" t="inlineStr">
        <is>
          <t>Emma returned from Parent B without her asthma inhaler. Parent A notified Parent B 6:40 PM requesting return. Inhaler returned at next exchange.</t>
        </is>
      </c>
      <c r="P12" s="22" t="inlineStr">
        <is>
          <t>HS — Health &amp; Safety</t>
        </is>
      </c>
      <c r="Q12" s="22" t="inlineStr"/>
      <c r="R12" s="22" t="inlineStr">
        <is>
          <t>Yes</t>
        </is>
      </c>
      <c r="S12" s="22" t="inlineStr">
        <is>
          <t>EVT-0008_2026-08-12_Incident</t>
        </is>
      </c>
    </row>
    <row r="13">
      <c r="A13" s="22" t="inlineStr">
        <is>
          <t>EVT-0009</t>
        </is>
      </c>
      <c r="B13" s="22" t="inlineStr">
        <is>
          <t>2026-08-15</t>
        </is>
      </c>
      <c r="C13" s="22" t="inlineStr">
        <is>
          <t>5:00 PM</t>
        </is>
      </c>
      <c r="D13" s="22" t="inlineStr">
        <is>
          <t>Exchange</t>
        </is>
      </c>
      <c r="E13" s="22" t="inlineStr">
        <is>
          <t>Exchange point — Parent A residence</t>
        </is>
      </c>
      <c r="F13" s="22" t="inlineStr">
        <is>
          <t>Emma</t>
        </is>
      </c>
      <c r="G13" s="22" t="inlineStr">
        <is>
          <t>Parent A; Parent B; Emma</t>
        </is>
      </c>
      <c r="H13" s="22" t="inlineStr">
        <is>
          <t>None</t>
        </is>
      </c>
      <c r="I13" s="22" t="inlineStr">
        <is>
          <t>Yes</t>
        </is>
      </c>
      <c r="J13" s="22" t="inlineStr">
        <is>
          <t>Text</t>
        </is>
      </c>
      <c r="K13" s="22" t="inlineStr">
        <is>
          <t>5:20 PM</t>
        </is>
      </c>
      <c r="L13" s="22" t="inlineStr">
        <is>
          <t>No</t>
        </is>
      </c>
      <c r="M13" s="22" t="inlineStr"/>
      <c r="N13" s="22" t="inlineStr"/>
      <c r="O13" s="22" t="inlineStr">
        <is>
          <t>Exchange scheduled 5:00 PM. Parent B arrived 5:18 PM, no prior notice. Transferred 5:19 PM.</t>
        </is>
      </c>
      <c r="P13" s="22" t="inlineStr">
        <is>
          <t>CC — Co-Parenting Conduct</t>
        </is>
      </c>
      <c r="Q13" s="22" t="inlineStr"/>
      <c r="R13" s="22" t="inlineStr">
        <is>
          <t>No</t>
        </is>
      </c>
      <c r="S13" s="22" t="inlineStr">
        <is>
          <t>EVT-0009_2026-08-15_Exchange</t>
        </is>
      </c>
    </row>
    <row r="14">
      <c r="A14" s="22" t="inlineStr">
        <is>
          <t>EVT-0010</t>
        </is>
      </c>
      <c r="B14" s="22" t="inlineStr">
        <is>
          <t>2026-08-20</t>
        </is>
      </c>
      <c r="C14" s="22" t="inlineStr">
        <is>
          <t>10:00 AM</t>
        </is>
      </c>
      <c r="D14" s="22" t="inlineStr">
        <is>
          <t>Decision</t>
        </is>
      </c>
      <c r="E14" s="22" t="inlineStr">
        <is>
          <t>Phone</t>
        </is>
      </c>
      <c r="F14" s="22" t="inlineStr">
        <is>
          <t>Emma</t>
        </is>
      </c>
      <c r="G14" s="22" t="inlineStr">
        <is>
          <t>Parent A; Parent B</t>
        </is>
      </c>
      <c r="H14" s="22" t="inlineStr">
        <is>
          <t>None</t>
        </is>
      </c>
      <c r="I14" s="22" t="inlineStr">
        <is>
          <t>Yes</t>
        </is>
      </c>
      <c r="J14" s="22" t="inlineStr">
        <is>
          <t>Phone Call</t>
        </is>
      </c>
      <c r="K14" s="22" t="inlineStr">
        <is>
          <t>10:30 AM</t>
        </is>
      </c>
      <c r="L14" s="22" t="inlineStr">
        <is>
          <t>No</t>
        </is>
      </c>
      <c r="M14" s="22" t="inlineStr"/>
      <c r="N14" s="22" t="inlineStr"/>
      <c r="O14" s="22" t="inlineStr">
        <is>
          <t>Both parents agreed by phone to an orthodontist consultation for Emma. Cost to be split 50/50 per order. Consult booked for September.</t>
        </is>
      </c>
      <c r="P14" s="22" t="inlineStr">
        <is>
          <t>HS — Health &amp; Safety</t>
        </is>
      </c>
      <c r="Q14" s="22" t="inlineStr">
        <is>
          <t>FS — Financial Support</t>
        </is>
      </c>
      <c r="R14" s="22" t="inlineStr">
        <is>
          <t>No</t>
        </is>
      </c>
      <c r="S14" s="22" t="inlineStr">
        <is>
          <t>EVT-0010_2026-08-20_Decision</t>
        </is>
      </c>
    </row>
  </sheetData>
  <mergeCells count="2">
    <mergeCell ref="A2:S2"/>
    <mergeCell ref="A1:S1"/>
  </mergeCells>
  <dataValidations count="5">
    <dataValidation sqref="D5:D1000" showDropDown="0" showInputMessage="0" showErrorMessage="0" allowBlank="1" type="list">
      <formula1>='Lists &amp; Setup'!$A$5:$A$12</formula1>
    </dataValidation>
    <dataValidation sqref="I5:I1000" showDropDown="0" showInputMessage="0" showErrorMessage="0" allowBlank="1" type="list">
      <formula1>"Yes,No,N/A"</formula1>
    </dataValidation>
    <dataValidation sqref="J5:J1000" showDropDown="0" showInputMessage="0" showErrorMessage="0" allowBlank="1" type="list">
      <formula1>='Lists &amp; Setup'!$C$5:$C$9</formula1>
    </dataValidation>
    <dataValidation sqref="L5:L1000 R5:R1000" showDropDown="0" showInputMessage="0" showErrorMessage="0" allowBlank="1" type="list">
      <formula1>"Yes,No"</formula1>
    </dataValidation>
    <dataValidation sqref="P5:P1000 Q5:Q1000" showDropDown="0" showInputMessage="0" showErrorMessage="0" allowBlank="1" type="list">
      <formula1>='Lists &amp; Setup'!$B$5:$B$12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A33D"/>
    <outlinePr summaryBelow="1" summaryRight="1"/>
    <pageSetUpPr/>
  </sheetPr>
  <dimension ref="A1:K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" customWidth="1" min="3" max="3"/>
    <col width="11" customWidth="1" min="4" max="4"/>
    <col width="14" customWidth="1" min="5" max="5"/>
    <col width="44" customWidth="1" min="6" max="6"/>
    <col width="32" customWidth="1" min="7" max="7"/>
    <col width="20" customWidth="1" min="8" max="8"/>
    <col width="18" customWidth="1" min="9" max="9"/>
    <col width="18" customWidth="1" min="10" max="10"/>
    <col width="12" customWidth="1" min="11" max="11"/>
  </cols>
  <sheetData>
    <row r="1" ht="24" customHeight="1">
      <c r="A1" s="1" t="inlineStr">
        <is>
          <t>Court Ready™ · Exhibit Index</t>
        </is>
      </c>
    </row>
    <row r="2">
      <c r="A2" s="3" t="inlineStr">
        <is>
          <t>One row per piece of evidence. Event ID ties it to its event — click ↦ to jump there.</t>
        </is>
      </c>
    </row>
    <row r="3">
      <c r="A3" s="21" t="inlineStr">
        <is>
          <t>SAMPLE DATA — a lived-in example for reference. Your real workbook starts empty; delete these rows to begin.</t>
        </is>
      </c>
    </row>
    <row r="4">
      <c r="A4" s="12" t="inlineStr">
        <is>
          <t>Exhibit ID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Date</t>
        </is>
      </c>
      <c r="E4" s="12" t="inlineStr">
        <is>
          <t>Evidence Type</t>
        </is>
      </c>
      <c r="F4" s="12" t="inlineStr">
        <is>
          <t>Description — facts only</t>
        </is>
      </c>
      <c r="G4" s="12" t="inlineStr">
        <is>
          <t>Court-Ready File Name</t>
        </is>
      </c>
      <c r="H4" s="12" t="inlineStr">
        <is>
          <t>Original File Name</t>
        </is>
      </c>
      <c r="I4" s="12" t="inlineStr">
        <is>
          <t>Primary Storage</t>
        </is>
      </c>
      <c r="J4" s="12" t="inlineStr">
        <is>
          <t>Backup Storage</t>
        </is>
      </c>
      <c r="K4" s="12" t="inlineStr">
        <is>
          <t>Status</t>
        </is>
      </c>
    </row>
    <row r="5">
      <c r="A5" s="22" t="inlineStr">
        <is>
          <t>EX-0001</t>
        </is>
      </c>
      <c r="B5" s="22" t="inlineStr">
        <is>
          <t>EVT-0001</t>
        </is>
      </c>
      <c r="C5" s="14">
        <f>IFERROR(HYPERLINK("#'Event Index'!A"&amp;(MATCH($B5,'Event Index'!$A$5:$A$1000,0)+4),"↦"),"")</f>
        <v/>
      </c>
      <c r="D5" s="22" t="inlineStr">
        <is>
          <t>2026-07-18</t>
        </is>
      </c>
      <c r="E5" s="22" t="inlineStr">
        <is>
          <t>Screenshot</t>
        </is>
      </c>
      <c r="F5" s="22" t="inlineStr">
        <is>
          <t>Text thread Parent A↔Parent B, 4:12–4:38 PM, re: Friday exchange time.</t>
        </is>
      </c>
      <c r="G5" s="22" t="inlineStr">
        <is>
          <t>EVT-0001_2026-07-18_Exchange_ExA_Screenshot.png</t>
        </is>
      </c>
      <c r="H5" s="22" t="inlineStr">
        <is>
          <t>IMG_4821.PNG</t>
        </is>
      </c>
      <c r="I5" s="22" t="inlineStr">
        <is>
          <t>Event folder / Exhibits</t>
        </is>
      </c>
      <c r="J5" s="22" t="inlineStr">
        <is>
          <t>Cloud backup</t>
        </is>
      </c>
      <c r="K5" s="22" t="inlineStr">
        <is>
          <t>Final</t>
        </is>
      </c>
    </row>
    <row r="6">
      <c r="A6" s="22" t="inlineStr">
        <is>
          <t>EX-0002</t>
        </is>
      </c>
      <c r="B6" s="22" t="inlineStr">
        <is>
          <t>EVT-0002</t>
        </is>
      </c>
      <c r="C6" s="15">
        <f>IFERROR(HYPERLINK("#'Event Index'!A"&amp;(MATCH($B6,'Event Index'!$A$5:$A$1000,0)+4),"↦"),"")</f>
        <v/>
      </c>
      <c r="D6" s="22" t="inlineStr">
        <is>
          <t>2026-07-19</t>
        </is>
      </c>
      <c r="E6" s="22" t="inlineStr">
        <is>
          <t>Document</t>
        </is>
      </c>
      <c r="F6" s="22" t="inlineStr">
        <is>
          <t>Visit summary from Dr. Patel — well-child exam and provider instructions.</t>
        </is>
      </c>
      <c r="G6" s="22" t="inlineStr">
        <is>
          <t>EVT-0002_2026-07-19_Medical_ExA_Document.pdf</t>
        </is>
      </c>
      <c r="H6" s="22" t="inlineStr">
        <is>
          <t>visit_summary.pdf</t>
        </is>
      </c>
      <c r="I6" s="22" t="inlineStr">
        <is>
          <t>Event folder / Exhibits</t>
        </is>
      </c>
      <c r="J6" s="22" t="inlineStr">
        <is>
          <t>Cloud backup</t>
        </is>
      </c>
      <c r="K6" s="22" t="inlineStr">
        <is>
          <t>Final</t>
        </is>
      </c>
    </row>
    <row r="7">
      <c r="A7" s="22" t="inlineStr">
        <is>
          <t>EX-0003</t>
        </is>
      </c>
      <c r="B7" s="22" t="inlineStr">
        <is>
          <t>EVT-0003</t>
        </is>
      </c>
      <c r="C7" s="15">
        <f>IFERROR(HYPERLINK("#'Event Index'!A"&amp;(MATCH($B7,'Event Index'!$A$5:$A$1000,0)+4),"↦"),"")</f>
        <v/>
      </c>
      <c r="D7" s="22" t="inlineStr">
        <is>
          <t>2026-07-24</t>
        </is>
      </c>
      <c r="E7" s="22" t="inlineStr">
        <is>
          <t>Screenshot</t>
        </is>
      </c>
      <c r="F7" s="22" t="inlineStr">
        <is>
          <t>Co-parenting app message requesting Friday time change; no response logged.</t>
        </is>
      </c>
      <c r="G7" s="22" t="inlineStr">
        <is>
          <t>EVT-0003_2026-07-24_Communication_ExA_Screenshot.png</t>
        </is>
      </c>
      <c r="H7" s="22" t="inlineStr">
        <is>
          <t>app_msg.png</t>
        </is>
      </c>
      <c r="I7" s="22" t="inlineStr">
        <is>
          <t>Event folder / Exhibits</t>
        </is>
      </c>
      <c r="J7" s="22" t="inlineStr">
        <is>
          <t>Cloud backup</t>
        </is>
      </c>
      <c r="K7" s="22" t="inlineStr">
        <is>
          <t>Final</t>
        </is>
      </c>
    </row>
    <row r="8">
      <c r="A8" s="22" t="inlineStr">
        <is>
          <t>EX-0004</t>
        </is>
      </c>
      <c r="B8" s="22" t="inlineStr">
        <is>
          <t>EVT-0005</t>
        </is>
      </c>
      <c r="C8" s="15">
        <f>IFERROR(HYPERLINK("#'Event Index'!A"&amp;(MATCH($B8,'Event Index'!$A$5:$A$1000,0)+4),"↦"),"")</f>
        <v/>
      </c>
      <c r="D8" s="22" t="inlineStr">
        <is>
          <t>2026-08-01</t>
        </is>
      </c>
      <c r="E8" s="22" t="inlineStr">
        <is>
          <t>Photo</t>
        </is>
      </c>
      <c r="F8" s="22" t="inlineStr">
        <is>
          <t>Timestamped photo of exchange-point clock showing 5:35 PM arrival.</t>
        </is>
      </c>
      <c r="G8" s="22" t="inlineStr">
        <is>
          <t>EVT-0005_2026-08-01_Exchange_ExA_Photo.png</t>
        </is>
      </c>
      <c r="H8" s="22" t="inlineStr">
        <is>
          <t>IMG_5012.HEIC</t>
        </is>
      </c>
      <c r="I8" s="22" t="inlineStr">
        <is>
          <t>Event folder / Exhibits</t>
        </is>
      </c>
      <c r="J8" s="22" t="inlineStr">
        <is>
          <t>Cloud backup</t>
        </is>
      </c>
      <c r="K8" s="22" t="inlineStr">
        <is>
          <t>Final</t>
        </is>
      </c>
    </row>
    <row r="9">
      <c r="A9" s="22" t="inlineStr">
        <is>
          <t>EX-0005</t>
        </is>
      </c>
      <c r="B9" s="22" t="inlineStr">
        <is>
          <t>EVT-0006</t>
        </is>
      </c>
      <c r="C9" s="15">
        <f>IFERROR(HYPERLINK("#'Event Index'!A"&amp;(MATCH($B9,'Event Index'!$A$5:$A$1000,0)+4),"↦"),"")</f>
        <v/>
      </c>
      <c r="D9" s="22" t="inlineStr">
        <is>
          <t>2026-08-05</t>
        </is>
      </c>
      <c r="E9" s="22" t="inlineStr">
        <is>
          <t>Document</t>
        </is>
      </c>
      <c r="F9" s="22" t="inlineStr">
        <is>
          <t>Emailed conference summary from Ms. Rivera.</t>
        </is>
      </c>
      <c r="G9" s="22" t="inlineStr">
        <is>
          <t>EVT-0006_2026-08-05_School_ExA_Document.pdf</t>
        </is>
      </c>
      <c r="H9" s="22" t="inlineStr">
        <is>
          <t>conf_email.pdf</t>
        </is>
      </c>
      <c r="I9" s="22" t="inlineStr">
        <is>
          <t>Event folder / Exhibits</t>
        </is>
      </c>
      <c r="J9" s="22" t="inlineStr">
        <is>
          <t>Cloud backup</t>
        </is>
      </c>
      <c r="K9" s="22" t="inlineStr">
        <is>
          <t>Final</t>
        </is>
      </c>
    </row>
    <row r="10">
      <c r="A10" s="22" t="inlineStr">
        <is>
          <t>EX-0006</t>
        </is>
      </c>
      <c r="B10" s="22" t="inlineStr">
        <is>
          <t>EVT-0007</t>
        </is>
      </c>
      <c r="C10" s="15">
        <f>IFERROR(HYPERLINK("#'Event Index'!A"&amp;(MATCH($B10,'Event Index'!$A$5:$A$1000,0)+4),"↦"),"")</f>
        <v/>
      </c>
      <c r="D10" s="22" t="inlineStr">
        <is>
          <t>2026-08-08</t>
        </is>
      </c>
      <c r="E10" s="22" t="inlineStr">
        <is>
          <t>Receipt</t>
        </is>
      </c>
      <c r="F10" s="22" t="inlineStr">
        <is>
          <t>Soccer registration receipt, $120, paid by Parent A.</t>
        </is>
      </c>
      <c r="G10" s="22" t="inlineStr">
        <is>
          <t>EVT-0007_2026-08-08_Expense_ExA_Receipt.pdf</t>
        </is>
      </c>
      <c r="H10" s="22" t="inlineStr">
        <is>
          <t>receipt_soccer.pdf</t>
        </is>
      </c>
      <c r="I10" s="22" t="inlineStr">
        <is>
          <t>Event folder / Exhibits</t>
        </is>
      </c>
      <c r="J10" s="22" t="inlineStr">
        <is>
          <t>Cloud backup</t>
        </is>
      </c>
      <c r="K10" s="22" t="inlineStr">
        <is>
          <t>Final</t>
        </is>
      </c>
    </row>
    <row r="11">
      <c r="A11" s="22" t="inlineStr">
        <is>
          <t>EX-0007</t>
        </is>
      </c>
      <c r="B11" s="22" t="inlineStr">
        <is>
          <t>EVT-0008</t>
        </is>
      </c>
      <c r="C11" s="15">
        <f>IFERROR(HYPERLINK("#'Event Index'!A"&amp;(MATCH($B11,'Event Index'!$A$5:$A$1000,0)+4),"↦"),"")</f>
        <v/>
      </c>
      <c r="D11" s="22" t="inlineStr">
        <is>
          <t>2026-08-12</t>
        </is>
      </c>
      <c r="E11" s="22" t="inlineStr">
        <is>
          <t>Screenshot</t>
        </is>
      </c>
      <c r="F11" s="22" t="inlineStr">
        <is>
          <t>Text to Parent B requesting return of asthma inhaler, 6:40 PM.</t>
        </is>
      </c>
      <c r="G11" s="22" t="inlineStr">
        <is>
          <t>EVT-0008_2026-08-12_Incident_ExA_Screenshot.png</t>
        </is>
      </c>
      <c r="H11" s="22" t="inlineStr">
        <is>
          <t>IMG_5140.PNG</t>
        </is>
      </c>
      <c r="I11" s="22" t="inlineStr">
        <is>
          <t>Event folder / Exhibits</t>
        </is>
      </c>
      <c r="J11" s="22" t="inlineStr">
        <is>
          <t>Cloud backup</t>
        </is>
      </c>
      <c r="K11" s="22" t="inlineStr">
        <is>
          <t>Final</t>
        </is>
      </c>
    </row>
    <row r="12">
      <c r="C12" s="15">
        <f>IFERROR(HYPERLINK("#'Event Index'!A"&amp;(MATCH($B12,'Event Index'!$A$5:$A$1000,0)+4),"↦"),"")</f>
        <v/>
      </c>
    </row>
    <row r="13">
      <c r="C13" s="15">
        <f>IFERROR(HYPERLINK("#'Event Index'!A"&amp;(MATCH($B13,'Event Index'!$A$5:$A$1000,0)+4),"↦"),"")</f>
        <v/>
      </c>
    </row>
    <row r="14">
      <c r="C14" s="15">
        <f>IFERROR(HYPERLINK("#'Event Index'!A"&amp;(MATCH($B14,'Event Index'!$A$5:$A$1000,0)+4),"↦"),"")</f>
        <v/>
      </c>
    </row>
    <row r="15">
      <c r="C15" s="15">
        <f>IFERROR(HYPERLINK("#'Event Index'!A"&amp;(MATCH($B15,'Event Index'!$A$5:$A$1000,0)+4),"↦"),"")</f>
        <v/>
      </c>
    </row>
    <row r="16">
      <c r="C16" s="15">
        <f>IFERROR(HYPERLINK("#'Event Index'!A"&amp;(MATCH($B16,'Event Index'!$A$5:$A$1000,0)+4),"↦"),"")</f>
        <v/>
      </c>
    </row>
    <row r="17">
      <c r="C17" s="15">
        <f>IFERROR(HYPERLINK("#'Event Index'!A"&amp;(MATCH($B17,'Event Index'!$A$5:$A$1000,0)+4),"↦"),"")</f>
        <v/>
      </c>
    </row>
    <row r="18">
      <c r="C18" s="15">
        <f>IFERROR(HYPERLINK("#'Event Index'!A"&amp;(MATCH($B18,'Event Index'!$A$5:$A$1000,0)+4),"↦"),"")</f>
        <v/>
      </c>
    </row>
    <row r="19">
      <c r="C19" s="15">
        <f>IFERROR(HYPERLINK("#'Event Index'!A"&amp;(MATCH($B19,'Event Index'!$A$5:$A$1000,0)+4),"↦"),"")</f>
        <v/>
      </c>
    </row>
    <row r="20">
      <c r="C20" s="15">
        <f>IFERROR(HYPERLINK("#'Event Index'!A"&amp;(MATCH($B20,'Event Index'!$A$5:$A$1000,0)+4),"↦"),"")</f>
        <v/>
      </c>
    </row>
    <row r="21">
      <c r="C21" s="15">
        <f>IFERROR(HYPERLINK("#'Event Index'!A"&amp;(MATCH($B21,'Event Index'!$A$5:$A$1000,0)+4),"↦"),"")</f>
        <v/>
      </c>
    </row>
    <row r="22">
      <c r="C22" s="15">
        <f>IFERROR(HYPERLINK("#'Event Index'!A"&amp;(MATCH($B22,'Event Index'!$A$5:$A$1000,0)+4),"↦"),"")</f>
        <v/>
      </c>
    </row>
    <row r="23">
      <c r="C23" s="15">
        <f>IFERROR(HYPERLINK("#'Event Index'!A"&amp;(MATCH($B23,'Event Index'!$A$5:$A$1000,0)+4),"↦"),"")</f>
        <v/>
      </c>
    </row>
    <row r="24">
      <c r="C24" s="15">
        <f>IFERROR(HYPERLINK("#'Event Index'!A"&amp;(MATCH($B24,'Event Index'!$A$5:$A$1000,0)+4),"↦"),"")</f>
        <v/>
      </c>
    </row>
    <row r="25">
      <c r="C25" s="15">
        <f>IFERROR(HYPERLINK("#'Event Index'!A"&amp;(MATCH($B25,'Event Index'!$A$5:$A$1000,0)+4),"↦"),"")</f>
        <v/>
      </c>
    </row>
    <row r="26">
      <c r="C26" s="15">
        <f>IFERROR(HYPERLINK("#'Event Index'!A"&amp;(MATCH($B26,'Event Index'!$A$5:$A$1000,0)+4),"↦"),"")</f>
        <v/>
      </c>
    </row>
    <row r="27">
      <c r="C27" s="15">
        <f>IFERROR(HYPERLINK("#'Event Index'!A"&amp;(MATCH($B27,'Event Index'!$A$5:$A$1000,0)+4),"↦"),"")</f>
        <v/>
      </c>
    </row>
    <row r="28">
      <c r="C28" s="15">
        <f>IFERROR(HYPERLINK("#'Event Index'!A"&amp;(MATCH($B28,'Event Index'!$A$5:$A$1000,0)+4),"↦"),"")</f>
        <v/>
      </c>
    </row>
    <row r="29">
      <c r="C29" s="15">
        <f>IFERROR(HYPERLINK("#'Event Index'!A"&amp;(MATCH($B29,'Event Index'!$A$5:$A$1000,0)+4),"↦"),"")</f>
        <v/>
      </c>
    </row>
    <row r="30">
      <c r="C30" s="15">
        <f>IFERROR(HYPERLINK("#'Event Index'!A"&amp;(MATCH($B30,'Event Index'!$A$5:$A$1000,0)+4),"↦"),"")</f>
        <v/>
      </c>
    </row>
    <row r="31">
      <c r="C31" s="15">
        <f>IFERROR(HYPERLINK("#'Event Index'!A"&amp;(MATCH($B31,'Event Index'!$A$5:$A$1000,0)+4),"↦"),"")</f>
        <v/>
      </c>
    </row>
    <row r="32">
      <c r="C32" s="15">
        <f>IFERROR(HYPERLINK("#'Event Index'!A"&amp;(MATCH($B32,'Event Index'!$A$5:$A$1000,0)+4),"↦"),"")</f>
        <v/>
      </c>
    </row>
    <row r="33">
      <c r="C33" s="15">
        <f>IFERROR(HYPERLINK("#'Event Index'!A"&amp;(MATCH($B33,'Event Index'!$A$5:$A$1000,0)+4),"↦"),"")</f>
        <v/>
      </c>
    </row>
    <row r="34">
      <c r="C34" s="15">
        <f>IFERROR(HYPERLINK("#'Event Index'!A"&amp;(MATCH($B34,'Event Index'!$A$5:$A$1000,0)+4),"↦"),"")</f>
        <v/>
      </c>
    </row>
    <row r="35">
      <c r="C35" s="15">
        <f>IFERROR(HYPERLINK("#'Event Index'!A"&amp;(MATCH($B35,'Event Index'!$A$5:$A$1000,0)+4),"↦"),"")</f>
        <v/>
      </c>
    </row>
    <row r="36">
      <c r="C36" s="15">
        <f>IFERROR(HYPERLINK("#'Event Index'!A"&amp;(MATCH($B36,'Event Index'!$A$5:$A$1000,0)+4),"↦"),"")</f>
        <v/>
      </c>
    </row>
    <row r="37">
      <c r="C37" s="15">
        <f>IFERROR(HYPERLINK("#'Event Index'!A"&amp;(MATCH($B37,'Event Index'!$A$5:$A$1000,0)+4),"↦"),"")</f>
        <v/>
      </c>
    </row>
    <row r="38">
      <c r="C38" s="15">
        <f>IFERROR(HYPERLINK("#'Event Index'!A"&amp;(MATCH($B38,'Event Index'!$A$5:$A$1000,0)+4),"↦"),"")</f>
        <v/>
      </c>
    </row>
    <row r="39">
      <c r="C39" s="15">
        <f>IFERROR(HYPERLINK("#'Event Index'!A"&amp;(MATCH($B39,'Event Index'!$A$5:$A$1000,0)+4),"↦"),"")</f>
        <v/>
      </c>
    </row>
    <row r="40">
      <c r="C40" s="15">
        <f>IFERROR(HYPERLINK("#'Event Index'!A"&amp;(MATCH($B40,'Event Index'!$A$5:$A$1000,0)+4),"↦"),"")</f>
        <v/>
      </c>
    </row>
    <row r="41">
      <c r="C41" s="15">
        <f>IFERROR(HYPERLINK("#'Event Index'!A"&amp;(MATCH($B41,'Event Index'!$A$5:$A$1000,0)+4),"↦"),"")</f>
        <v/>
      </c>
    </row>
    <row r="42">
      <c r="C42" s="15">
        <f>IFERROR(HYPERLINK("#'Event Index'!A"&amp;(MATCH($B42,'Event Index'!$A$5:$A$1000,0)+4),"↦"),"")</f>
        <v/>
      </c>
    </row>
    <row r="43">
      <c r="C43" s="15">
        <f>IFERROR(HYPERLINK("#'Event Index'!A"&amp;(MATCH($B43,'Event Index'!$A$5:$A$1000,0)+4),"↦"),"")</f>
        <v/>
      </c>
    </row>
    <row r="44">
      <c r="C44" s="15">
        <f>IFERROR(HYPERLINK("#'Event Index'!A"&amp;(MATCH($B44,'Event Index'!$A$5:$A$1000,0)+4),"↦"),"")</f>
        <v/>
      </c>
    </row>
    <row r="45">
      <c r="C45" s="15">
        <f>IFERROR(HYPERLINK("#'Event Index'!A"&amp;(MATCH($B45,'Event Index'!$A$5:$A$1000,0)+4),"↦"),"")</f>
        <v/>
      </c>
    </row>
    <row r="46">
      <c r="C46" s="15">
        <f>IFERROR(HYPERLINK("#'Event Index'!A"&amp;(MATCH($B46,'Event Index'!$A$5:$A$1000,0)+4),"↦"),"")</f>
        <v/>
      </c>
    </row>
    <row r="47">
      <c r="C47" s="15">
        <f>IFERROR(HYPERLINK("#'Event Index'!A"&amp;(MATCH($B47,'Event Index'!$A$5:$A$1000,0)+4),"↦"),"")</f>
        <v/>
      </c>
    </row>
    <row r="48">
      <c r="C48" s="15">
        <f>IFERROR(HYPERLINK("#'Event Index'!A"&amp;(MATCH($B48,'Event Index'!$A$5:$A$1000,0)+4),"↦"),"")</f>
        <v/>
      </c>
    </row>
    <row r="49">
      <c r="C49" s="15">
        <f>IFERROR(HYPERLINK("#'Event Index'!A"&amp;(MATCH($B49,'Event Index'!$A$5:$A$1000,0)+4),"↦"),"")</f>
        <v/>
      </c>
    </row>
    <row r="50">
      <c r="C50" s="15">
        <f>IFERROR(HYPERLINK("#'Event Index'!A"&amp;(MATCH($B50,'Event Index'!$A$5:$A$1000,0)+4),"↦"),"")</f>
        <v/>
      </c>
    </row>
    <row r="51">
      <c r="C51" s="15">
        <f>IFERROR(HYPERLINK("#'Event Index'!A"&amp;(MATCH($B51,'Event Index'!$A$5:$A$1000,0)+4),"↦"),"")</f>
        <v/>
      </c>
    </row>
    <row r="52">
      <c r="C52" s="15">
        <f>IFERROR(HYPERLINK("#'Event Index'!A"&amp;(MATCH($B52,'Event Index'!$A$5:$A$1000,0)+4),"↦"),"")</f>
        <v/>
      </c>
    </row>
    <row r="53">
      <c r="C53" s="15">
        <f>IFERROR(HYPERLINK("#'Event Index'!A"&amp;(MATCH($B53,'Event Index'!$A$5:$A$1000,0)+4),"↦"),"")</f>
        <v/>
      </c>
    </row>
    <row r="54">
      <c r="C54" s="15">
        <f>IFERROR(HYPERLINK("#'Event Index'!A"&amp;(MATCH($B54,'Event Index'!$A$5:$A$1000,0)+4),"↦"),"")</f>
        <v/>
      </c>
    </row>
    <row r="55">
      <c r="C55" s="15">
        <f>IFERROR(HYPERLINK("#'Event Index'!A"&amp;(MATCH($B55,'Event Index'!$A$5:$A$1000,0)+4),"↦"),"")</f>
        <v/>
      </c>
    </row>
    <row r="56">
      <c r="C56" s="15">
        <f>IFERROR(HYPERLINK("#'Event Index'!A"&amp;(MATCH($B56,'Event Index'!$A$5:$A$1000,0)+4),"↦"),"")</f>
        <v/>
      </c>
    </row>
    <row r="57">
      <c r="C57" s="15">
        <f>IFERROR(HYPERLINK("#'Event Index'!A"&amp;(MATCH($B57,'Event Index'!$A$5:$A$1000,0)+4),"↦"),"")</f>
        <v/>
      </c>
    </row>
    <row r="58">
      <c r="C58" s="15">
        <f>IFERROR(HYPERLINK("#'Event Index'!A"&amp;(MATCH($B58,'Event Index'!$A$5:$A$1000,0)+4),"↦"),"")</f>
        <v/>
      </c>
    </row>
    <row r="59">
      <c r="C59" s="15">
        <f>IFERROR(HYPERLINK("#'Event Index'!A"&amp;(MATCH($B59,'Event Index'!$A$5:$A$1000,0)+4),"↦"),"")</f>
        <v/>
      </c>
    </row>
    <row r="60">
      <c r="C60" s="15">
        <f>IFERROR(HYPERLINK("#'Event Index'!A"&amp;(MATCH($B60,'Event Index'!$A$5:$A$1000,0)+4),"↦"),"")</f>
        <v/>
      </c>
    </row>
    <row r="61">
      <c r="C61" s="15">
        <f>IFERROR(HYPERLINK("#'Event Index'!A"&amp;(MATCH($B61,'Event Index'!$A$5:$A$1000,0)+4),"↦"),"")</f>
        <v/>
      </c>
    </row>
    <row r="62">
      <c r="C62" s="15">
        <f>IFERROR(HYPERLINK("#'Event Index'!A"&amp;(MATCH($B62,'Event Index'!$A$5:$A$1000,0)+4),"↦"),"")</f>
        <v/>
      </c>
    </row>
    <row r="63">
      <c r="C63" s="15">
        <f>IFERROR(HYPERLINK("#'Event Index'!A"&amp;(MATCH($B63,'Event Index'!$A$5:$A$1000,0)+4),"↦"),"")</f>
        <v/>
      </c>
    </row>
    <row r="64">
      <c r="C64" s="15">
        <f>IFERROR(HYPERLINK("#'Event Index'!A"&amp;(MATCH($B64,'Event Index'!$A$5:$A$1000,0)+4),"↦"),"")</f>
        <v/>
      </c>
    </row>
    <row r="65">
      <c r="C65" s="15">
        <f>IFERROR(HYPERLINK("#'Event Index'!A"&amp;(MATCH($B65,'Event Index'!$A$5:$A$1000,0)+4),"↦"),"")</f>
        <v/>
      </c>
    </row>
    <row r="66">
      <c r="C66" s="15">
        <f>IFERROR(HYPERLINK("#'Event Index'!A"&amp;(MATCH($B66,'Event Index'!$A$5:$A$1000,0)+4),"↦"),"")</f>
        <v/>
      </c>
    </row>
    <row r="67">
      <c r="C67" s="15">
        <f>IFERROR(HYPERLINK("#'Event Index'!A"&amp;(MATCH($B67,'Event Index'!$A$5:$A$1000,0)+4),"↦"),"")</f>
        <v/>
      </c>
    </row>
    <row r="68">
      <c r="C68" s="15">
        <f>IFERROR(HYPERLINK("#'Event Index'!A"&amp;(MATCH($B68,'Event Index'!$A$5:$A$1000,0)+4),"↦"),"")</f>
        <v/>
      </c>
    </row>
    <row r="69">
      <c r="C69" s="15">
        <f>IFERROR(HYPERLINK("#'Event Index'!A"&amp;(MATCH($B69,'Event Index'!$A$5:$A$1000,0)+4),"↦"),"")</f>
        <v/>
      </c>
    </row>
    <row r="70">
      <c r="C70" s="15">
        <f>IFERROR(HYPERLINK("#'Event Index'!A"&amp;(MATCH($B70,'Event Index'!$A$5:$A$1000,0)+4),"↦"),"")</f>
        <v/>
      </c>
    </row>
    <row r="71">
      <c r="C71" s="15">
        <f>IFERROR(HYPERLINK("#'Event Index'!A"&amp;(MATCH($B71,'Event Index'!$A$5:$A$1000,0)+4),"↦"),"")</f>
        <v/>
      </c>
    </row>
    <row r="72">
      <c r="C72" s="15">
        <f>IFERROR(HYPERLINK("#'Event Index'!A"&amp;(MATCH($B72,'Event Index'!$A$5:$A$1000,0)+4),"↦"),"")</f>
        <v/>
      </c>
    </row>
    <row r="73">
      <c r="C73" s="15">
        <f>IFERROR(HYPERLINK("#'Event Index'!A"&amp;(MATCH($B73,'Event Index'!$A$5:$A$1000,0)+4),"↦"),"")</f>
        <v/>
      </c>
    </row>
    <row r="74">
      <c r="C74" s="15">
        <f>IFERROR(HYPERLINK("#'Event Index'!A"&amp;(MATCH($B74,'Event Index'!$A$5:$A$1000,0)+4),"↦"),"")</f>
        <v/>
      </c>
    </row>
    <row r="75">
      <c r="C75" s="15">
        <f>IFERROR(HYPERLINK("#'Event Index'!A"&amp;(MATCH($B75,'Event Index'!$A$5:$A$1000,0)+4),"↦"),"")</f>
        <v/>
      </c>
    </row>
    <row r="76">
      <c r="C76" s="15">
        <f>IFERROR(HYPERLINK("#'Event Index'!A"&amp;(MATCH($B76,'Event Index'!$A$5:$A$1000,0)+4),"↦"),"")</f>
        <v/>
      </c>
    </row>
    <row r="77">
      <c r="C77" s="15">
        <f>IFERROR(HYPERLINK("#'Event Index'!A"&amp;(MATCH($B77,'Event Index'!$A$5:$A$1000,0)+4),"↦"),"")</f>
        <v/>
      </c>
    </row>
    <row r="78">
      <c r="C78" s="15">
        <f>IFERROR(HYPERLINK("#'Event Index'!A"&amp;(MATCH($B78,'Event Index'!$A$5:$A$1000,0)+4),"↦"),"")</f>
        <v/>
      </c>
    </row>
    <row r="79">
      <c r="C79" s="15">
        <f>IFERROR(HYPERLINK("#'Event Index'!A"&amp;(MATCH($B79,'Event Index'!$A$5:$A$1000,0)+4),"↦"),"")</f>
        <v/>
      </c>
    </row>
    <row r="80">
      <c r="C80" s="15">
        <f>IFERROR(HYPERLINK("#'Event Index'!A"&amp;(MATCH($B80,'Event Index'!$A$5:$A$1000,0)+4),"↦"),"")</f>
        <v/>
      </c>
    </row>
    <row r="81">
      <c r="C81" s="15">
        <f>IFERROR(HYPERLINK("#'Event Index'!A"&amp;(MATCH($B81,'Event Index'!$A$5:$A$1000,0)+4),"↦"),"")</f>
        <v/>
      </c>
    </row>
    <row r="82">
      <c r="C82" s="15">
        <f>IFERROR(HYPERLINK("#'Event Index'!A"&amp;(MATCH($B82,'Event Index'!$A$5:$A$1000,0)+4),"↦"),"")</f>
        <v/>
      </c>
    </row>
    <row r="83">
      <c r="C83" s="15">
        <f>IFERROR(HYPERLINK("#'Event Index'!A"&amp;(MATCH($B83,'Event Index'!$A$5:$A$1000,0)+4),"↦"),"")</f>
        <v/>
      </c>
    </row>
    <row r="84">
      <c r="C84" s="15">
        <f>IFERROR(HYPERLINK("#'Event Index'!A"&amp;(MATCH($B84,'Event Index'!$A$5:$A$1000,0)+4),"↦"),"")</f>
        <v/>
      </c>
    </row>
    <row r="85">
      <c r="C85" s="15">
        <f>IFERROR(HYPERLINK("#'Event Index'!A"&amp;(MATCH($B85,'Event Index'!$A$5:$A$1000,0)+4),"↦"),"")</f>
        <v/>
      </c>
    </row>
    <row r="86">
      <c r="C86" s="15">
        <f>IFERROR(HYPERLINK("#'Event Index'!A"&amp;(MATCH($B86,'Event Index'!$A$5:$A$1000,0)+4),"↦"),"")</f>
        <v/>
      </c>
    </row>
    <row r="87">
      <c r="C87" s="15">
        <f>IFERROR(HYPERLINK("#'Event Index'!A"&amp;(MATCH($B87,'Event Index'!$A$5:$A$1000,0)+4),"↦"),"")</f>
        <v/>
      </c>
    </row>
    <row r="88">
      <c r="C88" s="15">
        <f>IFERROR(HYPERLINK("#'Event Index'!A"&amp;(MATCH($B88,'Event Index'!$A$5:$A$1000,0)+4),"↦"),"")</f>
        <v/>
      </c>
    </row>
    <row r="89">
      <c r="C89" s="15">
        <f>IFERROR(HYPERLINK("#'Event Index'!A"&amp;(MATCH($B89,'Event Index'!$A$5:$A$1000,0)+4),"↦"),"")</f>
        <v/>
      </c>
    </row>
    <row r="90">
      <c r="C90" s="15">
        <f>IFERROR(HYPERLINK("#'Event Index'!A"&amp;(MATCH($B90,'Event Index'!$A$5:$A$1000,0)+4),"↦"),"")</f>
        <v/>
      </c>
    </row>
    <row r="91">
      <c r="C91" s="15">
        <f>IFERROR(HYPERLINK("#'Event Index'!A"&amp;(MATCH($B91,'Event Index'!$A$5:$A$1000,0)+4),"↦"),"")</f>
        <v/>
      </c>
    </row>
    <row r="92">
      <c r="C92" s="15">
        <f>IFERROR(HYPERLINK("#'Event Index'!A"&amp;(MATCH($B92,'Event Index'!$A$5:$A$1000,0)+4),"↦"),"")</f>
        <v/>
      </c>
    </row>
    <row r="93">
      <c r="C93" s="15">
        <f>IFERROR(HYPERLINK("#'Event Index'!A"&amp;(MATCH($B93,'Event Index'!$A$5:$A$1000,0)+4),"↦"),"")</f>
        <v/>
      </c>
    </row>
    <row r="94">
      <c r="C94" s="15">
        <f>IFERROR(HYPERLINK("#'Event Index'!A"&amp;(MATCH($B94,'Event Index'!$A$5:$A$1000,0)+4),"↦"),"")</f>
        <v/>
      </c>
    </row>
    <row r="95">
      <c r="C95" s="15">
        <f>IFERROR(HYPERLINK("#'Event Index'!A"&amp;(MATCH($B95,'Event Index'!$A$5:$A$1000,0)+4),"↦"),"")</f>
        <v/>
      </c>
    </row>
    <row r="96">
      <c r="C96" s="15">
        <f>IFERROR(HYPERLINK("#'Event Index'!A"&amp;(MATCH($B96,'Event Index'!$A$5:$A$1000,0)+4),"↦"),"")</f>
        <v/>
      </c>
    </row>
    <row r="97">
      <c r="C97" s="15">
        <f>IFERROR(HYPERLINK("#'Event Index'!A"&amp;(MATCH($B97,'Event Index'!$A$5:$A$1000,0)+4),"↦"),"")</f>
        <v/>
      </c>
    </row>
    <row r="98">
      <c r="C98" s="15">
        <f>IFERROR(HYPERLINK("#'Event Index'!A"&amp;(MATCH($B98,'Event Index'!$A$5:$A$1000,0)+4),"↦"),"")</f>
        <v/>
      </c>
    </row>
    <row r="99">
      <c r="C99" s="15">
        <f>IFERROR(HYPERLINK("#'Event Index'!A"&amp;(MATCH($B99,'Event Index'!$A$5:$A$1000,0)+4),"↦"),"")</f>
        <v/>
      </c>
    </row>
    <row r="100">
      <c r="C100" s="15">
        <f>IFERROR(HYPERLINK("#'Event Index'!A"&amp;(MATCH($B100,'Event Index'!$A$5:$A$1000,0)+4),"↦"),"")</f>
        <v/>
      </c>
    </row>
    <row r="101">
      <c r="C101" s="15">
        <f>IFERROR(HYPERLINK("#'Event Index'!A"&amp;(MATCH($B101,'Event Index'!$A$5:$A$1000,0)+4),"↦"),"")</f>
        <v/>
      </c>
    </row>
    <row r="102">
      <c r="C102" s="15">
        <f>IFERROR(HYPERLINK("#'Event Index'!A"&amp;(MATCH($B102,'Event Index'!$A$5:$A$1000,0)+4),"↦"),"")</f>
        <v/>
      </c>
    </row>
    <row r="103">
      <c r="C103" s="15">
        <f>IFERROR(HYPERLINK("#'Event Index'!A"&amp;(MATCH($B103,'Event Index'!$A$5:$A$1000,0)+4),"↦"),"")</f>
        <v/>
      </c>
    </row>
    <row r="104">
      <c r="C104" s="15">
        <f>IFERROR(HYPERLINK("#'Event Index'!A"&amp;(MATCH($B104,'Event Index'!$A$5:$A$1000,0)+4),"↦"),"")</f>
        <v/>
      </c>
    </row>
    <row r="105">
      <c r="C105" s="15">
        <f>IFERROR(HYPERLINK("#'Event Index'!A"&amp;(MATCH($B105,'Event Index'!$A$5:$A$1000,0)+4),"↦"),"")</f>
        <v/>
      </c>
    </row>
    <row r="106">
      <c r="C106" s="15">
        <f>IFERROR(HYPERLINK("#'Event Index'!A"&amp;(MATCH($B106,'Event Index'!$A$5:$A$1000,0)+4),"↦"),"")</f>
        <v/>
      </c>
    </row>
    <row r="107">
      <c r="C107" s="15">
        <f>IFERROR(HYPERLINK("#'Event Index'!A"&amp;(MATCH($B107,'Event Index'!$A$5:$A$1000,0)+4),"↦"),"")</f>
        <v/>
      </c>
    </row>
    <row r="108">
      <c r="C108" s="15">
        <f>IFERROR(HYPERLINK("#'Event Index'!A"&amp;(MATCH($B108,'Event Index'!$A$5:$A$1000,0)+4),"↦"),"")</f>
        <v/>
      </c>
    </row>
    <row r="109">
      <c r="C109" s="15">
        <f>IFERROR(HYPERLINK("#'Event Index'!A"&amp;(MATCH($B109,'Event Index'!$A$5:$A$1000,0)+4),"↦"),"")</f>
        <v/>
      </c>
    </row>
    <row r="110">
      <c r="C110" s="15">
        <f>IFERROR(HYPERLINK("#'Event Index'!A"&amp;(MATCH($B110,'Event Index'!$A$5:$A$1000,0)+4),"↦"),"")</f>
        <v/>
      </c>
    </row>
    <row r="111">
      <c r="C111" s="15">
        <f>IFERROR(HYPERLINK("#'Event Index'!A"&amp;(MATCH($B111,'Event Index'!$A$5:$A$1000,0)+4),"↦"),"")</f>
        <v/>
      </c>
    </row>
    <row r="112">
      <c r="C112" s="15">
        <f>IFERROR(HYPERLINK("#'Event Index'!A"&amp;(MATCH($B112,'Event Index'!$A$5:$A$1000,0)+4),"↦"),"")</f>
        <v/>
      </c>
    </row>
    <row r="113">
      <c r="C113" s="15">
        <f>IFERROR(HYPERLINK("#'Event Index'!A"&amp;(MATCH($B113,'Event Index'!$A$5:$A$1000,0)+4),"↦"),"")</f>
        <v/>
      </c>
    </row>
    <row r="114">
      <c r="C114" s="15">
        <f>IFERROR(HYPERLINK("#'Event Index'!A"&amp;(MATCH($B114,'Event Index'!$A$5:$A$1000,0)+4),"↦"),"")</f>
        <v/>
      </c>
    </row>
    <row r="115">
      <c r="C115" s="15">
        <f>IFERROR(HYPERLINK("#'Event Index'!A"&amp;(MATCH($B115,'Event Index'!$A$5:$A$1000,0)+4),"↦"),"")</f>
        <v/>
      </c>
    </row>
    <row r="116">
      <c r="C116" s="15">
        <f>IFERROR(HYPERLINK("#'Event Index'!A"&amp;(MATCH($B116,'Event Index'!$A$5:$A$1000,0)+4),"↦"),"")</f>
        <v/>
      </c>
    </row>
    <row r="117">
      <c r="C117" s="15">
        <f>IFERROR(HYPERLINK("#'Event Index'!A"&amp;(MATCH($B117,'Event Index'!$A$5:$A$1000,0)+4),"↦"),"")</f>
        <v/>
      </c>
    </row>
    <row r="118">
      <c r="C118" s="15">
        <f>IFERROR(HYPERLINK("#'Event Index'!A"&amp;(MATCH($B118,'Event Index'!$A$5:$A$1000,0)+4),"↦"),"")</f>
        <v/>
      </c>
    </row>
    <row r="119">
      <c r="C119" s="15">
        <f>IFERROR(HYPERLINK("#'Event Index'!A"&amp;(MATCH($B119,'Event Index'!$A$5:$A$1000,0)+4),"↦"),"")</f>
        <v/>
      </c>
    </row>
    <row r="120">
      <c r="C120" s="15">
        <f>IFERROR(HYPERLINK("#'Event Index'!A"&amp;(MATCH($B120,'Event Index'!$A$5:$A$1000,0)+4),"↦"),"")</f>
        <v/>
      </c>
    </row>
  </sheetData>
  <mergeCells count="2">
    <mergeCell ref="A2:K2"/>
    <mergeCell ref="A1:K1"/>
  </mergeCells>
  <dataValidations count="2">
    <dataValidation sqref="E5:E1000" showDropDown="0" showInputMessage="0" showErrorMessage="0" allowBlank="1" type="list">
      <formula1>"Screenshot,Photo,Receipt,Document,Audio,Video,Other"</formula1>
    </dataValidation>
    <dataValidation sqref="K5:K1000" showDropDown="0" showInputMessage="0" showErrorMessage="0" allowBlank="1" type="list">
      <formula1>"Draft,Final,Submitted"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4EDE6"/>
    <outlinePr summaryBelow="1" summaryRight="1"/>
    <pageSetUpPr/>
  </sheetPr>
  <dimension ref="A1:K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4" customWidth="1" min="4" max="4"/>
    <col width="13" customWidth="1" min="5" max="5"/>
    <col width="26" customWidth="1" min="6" max="6"/>
    <col width="16" customWidth="1" min="7" max="7"/>
    <col width="26" customWidth="1" min="8" max="8"/>
    <col width="46" customWidth="1" min="9" max="9"/>
    <col width="16" customWidth="1" min="10" max="10"/>
    <col width="10" customWidth="1" min="11" max="11"/>
  </cols>
  <sheetData>
    <row r="1" ht="24" customHeight="1">
      <c r="A1" s="1" t="inlineStr">
        <is>
          <t>Court Ready™ · Communication Log</t>
        </is>
      </c>
    </row>
    <row r="2">
      <c r="A2" s="3" t="inlineStr">
        <is>
          <t>Every message to or from Parent B. Key Quote is what an attorney reads first — keep it verbatim.</t>
        </is>
      </c>
    </row>
    <row r="3">
      <c r="A3" s="21" t="inlineStr">
        <is>
          <t>SAMPLE DATA — a lived-in example for reference. Your real workbook starts empty; delete these rows to begin.</t>
        </is>
      </c>
    </row>
    <row r="4">
      <c r="A4" s="12" t="inlineStr">
        <is>
          <t>Date</t>
        </is>
      </c>
      <c r="B4" s="12" t="inlineStr">
        <is>
          <t>Time</t>
        </is>
      </c>
      <c r="C4" s="12" t="inlineStr">
        <is>
          <t>Event ID</t>
        </is>
      </c>
      <c r="D4" s="12" t="inlineStr">
        <is>
          <t>↦</t>
        </is>
      </c>
      <c r="E4" s="12" t="inlineStr">
        <is>
          <t>Method</t>
        </is>
      </c>
      <c r="F4" s="12" t="inlineStr">
        <is>
          <t>Direction</t>
        </is>
      </c>
      <c r="G4" s="12" t="inlineStr">
        <is>
          <t>Other Party</t>
        </is>
      </c>
      <c r="H4" s="12" t="inlineStr">
        <is>
          <t>Topic</t>
        </is>
      </c>
      <c r="I4" s="12" t="inlineStr">
        <is>
          <t>Key Quote</t>
        </is>
      </c>
      <c r="J4" s="12" t="inlineStr">
        <is>
          <t>Response Received</t>
        </is>
      </c>
      <c r="K4" s="12" t="inlineStr">
        <is>
          <t>Exhibit</t>
        </is>
      </c>
    </row>
    <row r="5">
      <c r="A5" s="22" t="inlineStr">
        <is>
          <t>2026-07-18</t>
        </is>
      </c>
      <c r="B5" s="22" t="inlineStr">
        <is>
          <t>5:26 PM</t>
        </is>
      </c>
      <c r="C5" s="22" t="inlineStr">
        <is>
          <t>EVT-0001</t>
        </is>
      </c>
      <c r="D5" s="14">
        <f>IFERROR(HYPERLINK("#'Event Index'!A"&amp;(MATCH($C5,'Event Index'!$A$5:$A$1000,0)+4),"↦"),"")</f>
        <v/>
      </c>
      <c r="E5" s="22" t="inlineStr">
        <is>
          <t>Text</t>
        </is>
      </c>
      <c r="F5" s="22" t="inlineStr">
        <is>
          <t>Sent to Parent B</t>
        </is>
      </c>
      <c r="G5" s="22" t="inlineStr">
        <is>
          <t>Parent B</t>
        </is>
      </c>
      <c r="H5" s="22" t="inlineStr">
        <is>
          <t>Confirmed transfer</t>
        </is>
      </c>
      <c r="I5" s="22" t="inlineStr">
        <is>
          <t>"Emma is home safe, transfer completed 5:25."</t>
        </is>
      </c>
      <c r="J5" s="22" t="inlineStr">
        <is>
          <t>No</t>
        </is>
      </c>
      <c r="K5" s="22" t="inlineStr">
        <is>
          <t>Yes</t>
        </is>
      </c>
    </row>
    <row r="6">
      <c r="A6" s="22" t="inlineStr">
        <is>
          <t>2026-07-24</t>
        </is>
      </c>
      <c r="B6" s="22" t="inlineStr">
        <is>
          <t>4:12 PM</t>
        </is>
      </c>
      <c r="C6" s="22" t="inlineStr">
        <is>
          <t>EVT-0003</t>
        </is>
      </c>
      <c r="D6" s="15">
        <f>IFERROR(HYPERLINK("#'Event Index'!A"&amp;(MATCH($C6,'Event Index'!$A$5:$A$1000,0)+4),"↦"),"")</f>
        <v/>
      </c>
      <c r="E6" s="22" t="inlineStr">
        <is>
          <t>Co-Parenting App</t>
        </is>
      </c>
      <c r="F6" s="22" t="inlineStr">
        <is>
          <t>Sent to Parent B</t>
        </is>
      </c>
      <c r="G6" s="22" t="inlineStr">
        <is>
          <t>Parent B</t>
        </is>
      </c>
      <c r="H6" s="22" t="inlineStr">
        <is>
          <t>Requested Friday time change</t>
        </is>
      </c>
      <c r="I6" s="22" t="inlineStr">
        <is>
          <t>"Can we move Friday's exchange to 6 PM this week?"</t>
        </is>
      </c>
      <c r="J6" s="22" t="inlineStr">
        <is>
          <t>No</t>
        </is>
      </c>
      <c r="K6" s="22" t="inlineStr">
        <is>
          <t>Yes</t>
        </is>
      </c>
    </row>
    <row r="7">
      <c r="A7" s="22" t="inlineStr">
        <is>
          <t>2026-08-01</t>
        </is>
      </c>
      <c r="B7" s="22" t="inlineStr">
        <is>
          <t>5:40 PM</t>
        </is>
      </c>
      <c r="C7" s="22" t="inlineStr">
        <is>
          <t>EVT-0005</t>
        </is>
      </c>
      <c r="D7" s="15">
        <f>IFERROR(HYPERLINK("#'Event Index'!A"&amp;(MATCH($C7,'Event Index'!$A$5:$A$1000,0)+4),"↦"),"")</f>
        <v/>
      </c>
      <c r="E7" s="22" t="inlineStr">
        <is>
          <t>Text</t>
        </is>
      </c>
      <c r="F7" s="22" t="inlineStr">
        <is>
          <t>Sent to Parent B</t>
        </is>
      </c>
      <c r="G7" s="22" t="inlineStr">
        <is>
          <t>Parent B</t>
        </is>
      </c>
      <c r="H7" s="22" t="inlineStr">
        <is>
          <t>Noted late arrival</t>
        </is>
      </c>
      <c r="I7" s="22" t="inlineStr">
        <is>
          <t>"You arrived 5:35 with no notice; Emma was upset."</t>
        </is>
      </c>
      <c r="J7" s="22" t="inlineStr">
        <is>
          <t>No</t>
        </is>
      </c>
      <c r="K7" s="22" t="inlineStr">
        <is>
          <t>Yes</t>
        </is>
      </c>
    </row>
    <row r="8">
      <c r="A8" s="22" t="inlineStr">
        <is>
          <t>2026-08-08</t>
        </is>
      </c>
      <c r="B8" s="22" t="inlineStr">
        <is>
          <t>9:15 AM</t>
        </is>
      </c>
      <c r="C8" s="22" t="inlineStr">
        <is>
          <t>EVT-0007</t>
        </is>
      </c>
      <c r="D8" s="15">
        <f>IFERROR(HYPERLINK("#'Event Index'!A"&amp;(MATCH($C8,'Event Index'!$A$5:$A$1000,0)+4),"↦"),"")</f>
        <v/>
      </c>
      <c r="E8" s="22" t="inlineStr">
        <is>
          <t>Co-Parenting App</t>
        </is>
      </c>
      <c r="F8" s="22" t="inlineStr">
        <is>
          <t>Sent to Parent B</t>
        </is>
      </c>
      <c r="G8" s="22" t="inlineStr">
        <is>
          <t>Parent B</t>
        </is>
      </c>
      <c r="H8" s="22" t="inlineStr">
        <is>
          <t>Reimbursement request</t>
        </is>
      </c>
      <c r="I8" s="22" t="inlineStr">
        <is>
          <t>"Soccer registration was $120; your half is $60 per our order."</t>
        </is>
      </c>
      <c r="J8" s="22" t="inlineStr">
        <is>
          <t>Partial</t>
        </is>
      </c>
      <c r="K8" s="22" t="inlineStr">
        <is>
          <t>Yes</t>
        </is>
      </c>
    </row>
    <row r="9">
      <c r="A9" s="22" t="inlineStr">
        <is>
          <t>2026-08-12</t>
        </is>
      </c>
      <c r="B9" s="22" t="inlineStr">
        <is>
          <t>6:40 PM</t>
        </is>
      </c>
      <c r="C9" s="22" t="inlineStr">
        <is>
          <t>EVT-0008</t>
        </is>
      </c>
      <c r="D9" s="15">
        <f>IFERROR(HYPERLINK("#'Event Index'!A"&amp;(MATCH($C9,'Event Index'!$A$5:$A$1000,0)+4),"↦"),"")</f>
        <v/>
      </c>
      <c r="E9" s="22" t="inlineStr">
        <is>
          <t>Text</t>
        </is>
      </c>
      <c r="F9" s="22" t="inlineStr">
        <is>
          <t>Sent to Parent B</t>
        </is>
      </c>
      <c r="G9" s="22" t="inlineStr">
        <is>
          <t>Parent B</t>
        </is>
      </c>
      <c r="H9" s="22" t="inlineStr">
        <is>
          <t>Requested inhaler return</t>
        </is>
      </c>
      <c r="I9" s="22" t="inlineStr">
        <is>
          <t>"Emma came home without her inhaler — please send it."</t>
        </is>
      </c>
      <c r="J9" s="22" t="inlineStr">
        <is>
          <t>Yes</t>
        </is>
      </c>
      <c r="K9" s="22" t="inlineStr">
        <is>
          <t>Yes</t>
        </is>
      </c>
    </row>
    <row r="10">
      <c r="D10" s="15">
        <f>IFERROR(HYPERLINK("#'Event Index'!A"&amp;(MATCH($C10,'Event Index'!$A$5:$A$1000,0)+4),"↦"),"")</f>
        <v/>
      </c>
    </row>
    <row r="11">
      <c r="D11" s="15">
        <f>IFERROR(HYPERLINK("#'Event Index'!A"&amp;(MATCH($C11,'Event Index'!$A$5:$A$1000,0)+4),"↦"),"")</f>
        <v/>
      </c>
    </row>
    <row r="12">
      <c r="D12" s="15">
        <f>IFERROR(HYPERLINK("#'Event Index'!A"&amp;(MATCH($C12,'Event Index'!$A$5:$A$1000,0)+4),"↦"),"")</f>
        <v/>
      </c>
    </row>
    <row r="13">
      <c r="D13" s="15">
        <f>IFERROR(HYPERLINK("#'Event Index'!A"&amp;(MATCH($C13,'Event Index'!$A$5:$A$1000,0)+4),"↦"),"")</f>
        <v/>
      </c>
    </row>
    <row r="14">
      <c r="D14" s="15">
        <f>IFERROR(HYPERLINK("#'Event Index'!A"&amp;(MATCH($C14,'Event Index'!$A$5:$A$1000,0)+4),"↦"),"")</f>
        <v/>
      </c>
    </row>
    <row r="15">
      <c r="D15" s="15">
        <f>IFERROR(HYPERLINK("#'Event Index'!A"&amp;(MATCH($C15,'Event Index'!$A$5:$A$1000,0)+4),"↦"),"")</f>
        <v/>
      </c>
    </row>
    <row r="16">
      <c r="D16" s="15">
        <f>IFERROR(HYPERLINK("#'Event Index'!A"&amp;(MATCH($C16,'Event Index'!$A$5:$A$1000,0)+4),"↦"),"")</f>
        <v/>
      </c>
    </row>
    <row r="17">
      <c r="D17" s="15">
        <f>IFERROR(HYPERLINK("#'Event Index'!A"&amp;(MATCH($C17,'Event Index'!$A$5:$A$1000,0)+4),"↦"),"")</f>
        <v/>
      </c>
    </row>
    <row r="18">
      <c r="D18" s="15">
        <f>IFERROR(HYPERLINK("#'Event Index'!A"&amp;(MATCH($C18,'Event Index'!$A$5:$A$1000,0)+4),"↦"),"")</f>
        <v/>
      </c>
    </row>
    <row r="19">
      <c r="D19" s="15">
        <f>IFERROR(HYPERLINK("#'Event Index'!A"&amp;(MATCH($C19,'Event Index'!$A$5:$A$1000,0)+4),"↦"),"")</f>
        <v/>
      </c>
    </row>
    <row r="20">
      <c r="D20" s="15">
        <f>IFERROR(HYPERLINK("#'Event Index'!A"&amp;(MATCH($C20,'Event Index'!$A$5:$A$1000,0)+4),"↦"),"")</f>
        <v/>
      </c>
    </row>
    <row r="21">
      <c r="D21" s="15">
        <f>IFERROR(HYPERLINK("#'Event Index'!A"&amp;(MATCH($C21,'Event Index'!$A$5:$A$1000,0)+4),"↦"),"")</f>
        <v/>
      </c>
    </row>
    <row r="22">
      <c r="D22" s="15">
        <f>IFERROR(HYPERLINK("#'Event Index'!A"&amp;(MATCH($C22,'Event Index'!$A$5:$A$1000,0)+4),"↦"),"")</f>
        <v/>
      </c>
    </row>
    <row r="23">
      <c r="D23" s="15">
        <f>IFERROR(HYPERLINK("#'Event Index'!A"&amp;(MATCH($C23,'Event Index'!$A$5:$A$1000,0)+4),"↦"),"")</f>
        <v/>
      </c>
    </row>
    <row r="24">
      <c r="D24" s="15">
        <f>IFERROR(HYPERLINK("#'Event Index'!A"&amp;(MATCH($C24,'Event Index'!$A$5:$A$1000,0)+4),"↦"),"")</f>
        <v/>
      </c>
    </row>
    <row r="25">
      <c r="D25" s="15">
        <f>IFERROR(HYPERLINK("#'Event Index'!A"&amp;(MATCH($C25,'Event Index'!$A$5:$A$1000,0)+4),"↦"),"")</f>
        <v/>
      </c>
    </row>
    <row r="26">
      <c r="D26" s="15">
        <f>IFERROR(HYPERLINK("#'Event Index'!A"&amp;(MATCH($C26,'Event Index'!$A$5:$A$1000,0)+4),"↦"),"")</f>
        <v/>
      </c>
    </row>
    <row r="27">
      <c r="D27" s="15">
        <f>IFERROR(HYPERLINK("#'Event Index'!A"&amp;(MATCH($C27,'Event Index'!$A$5:$A$1000,0)+4),"↦"),"")</f>
        <v/>
      </c>
    </row>
    <row r="28">
      <c r="D28" s="15">
        <f>IFERROR(HYPERLINK("#'Event Index'!A"&amp;(MATCH($C28,'Event Index'!$A$5:$A$1000,0)+4),"↦"),"")</f>
        <v/>
      </c>
    </row>
    <row r="29">
      <c r="D29" s="15">
        <f>IFERROR(HYPERLINK("#'Event Index'!A"&amp;(MATCH($C29,'Event Index'!$A$5:$A$1000,0)+4),"↦"),"")</f>
        <v/>
      </c>
    </row>
    <row r="30">
      <c r="D30" s="15">
        <f>IFERROR(HYPERLINK("#'Event Index'!A"&amp;(MATCH($C30,'Event Index'!$A$5:$A$1000,0)+4),"↦"),"")</f>
        <v/>
      </c>
    </row>
    <row r="31">
      <c r="D31" s="15">
        <f>IFERROR(HYPERLINK("#'Event Index'!A"&amp;(MATCH($C31,'Event Index'!$A$5:$A$1000,0)+4),"↦"),"")</f>
        <v/>
      </c>
    </row>
    <row r="32">
      <c r="D32" s="15">
        <f>IFERROR(HYPERLINK("#'Event Index'!A"&amp;(MATCH($C32,'Event Index'!$A$5:$A$1000,0)+4),"↦"),"")</f>
        <v/>
      </c>
    </row>
    <row r="33">
      <c r="D33" s="15">
        <f>IFERROR(HYPERLINK("#'Event Index'!A"&amp;(MATCH($C33,'Event Index'!$A$5:$A$1000,0)+4),"↦"),"")</f>
        <v/>
      </c>
    </row>
    <row r="34">
      <c r="D34" s="15">
        <f>IFERROR(HYPERLINK("#'Event Index'!A"&amp;(MATCH($C34,'Event Index'!$A$5:$A$1000,0)+4),"↦"),"")</f>
        <v/>
      </c>
    </row>
    <row r="35">
      <c r="D35" s="15">
        <f>IFERROR(HYPERLINK("#'Event Index'!A"&amp;(MATCH($C35,'Event Index'!$A$5:$A$1000,0)+4),"↦"),"")</f>
        <v/>
      </c>
    </row>
    <row r="36">
      <c r="D36" s="15">
        <f>IFERROR(HYPERLINK("#'Event Index'!A"&amp;(MATCH($C36,'Event Index'!$A$5:$A$1000,0)+4),"↦"),"")</f>
        <v/>
      </c>
    </row>
    <row r="37">
      <c r="D37" s="15">
        <f>IFERROR(HYPERLINK("#'Event Index'!A"&amp;(MATCH($C37,'Event Index'!$A$5:$A$1000,0)+4),"↦"),"")</f>
        <v/>
      </c>
    </row>
    <row r="38">
      <c r="D38" s="15">
        <f>IFERROR(HYPERLINK("#'Event Index'!A"&amp;(MATCH($C38,'Event Index'!$A$5:$A$1000,0)+4),"↦"),"")</f>
        <v/>
      </c>
    </row>
    <row r="39">
      <c r="D39" s="15">
        <f>IFERROR(HYPERLINK("#'Event Index'!A"&amp;(MATCH($C39,'Event Index'!$A$5:$A$1000,0)+4),"↦"),"")</f>
        <v/>
      </c>
    </row>
    <row r="40">
      <c r="D40" s="15">
        <f>IFERROR(HYPERLINK("#'Event Index'!A"&amp;(MATCH($C40,'Event Index'!$A$5:$A$1000,0)+4),"↦"),"")</f>
        <v/>
      </c>
    </row>
    <row r="41">
      <c r="D41" s="15">
        <f>IFERROR(HYPERLINK("#'Event Index'!A"&amp;(MATCH($C41,'Event Index'!$A$5:$A$1000,0)+4),"↦"),"")</f>
        <v/>
      </c>
    </row>
    <row r="42">
      <c r="D42" s="15">
        <f>IFERROR(HYPERLINK("#'Event Index'!A"&amp;(MATCH($C42,'Event Index'!$A$5:$A$1000,0)+4),"↦"),"")</f>
        <v/>
      </c>
    </row>
    <row r="43">
      <c r="D43" s="15">
        <f>IFERROR(HYPERLINK("#'Event Index'!A"&amp;(MATCH($C43,'Event Index'!$A$5:$A$1000,0)+4),"↦"),"")</f>
        <v/>
      </c>
    </row>
    <row r="44">
      <c r="D44" s="15">
        <f>IFERROR(HYPERLINK("#'Event Index'!A"&amp;(MATCH($C44,'Event Index'!$A$5:$A$1000,0)+4),"↦"),"")</f>
        <v/>
      </c>
    </row>
    <row r="45">
      <c r="D45" s="15">
        <f>IFERROR(HYPERLINK("#'Event Index'!A"&amp;(MATCH($C45,'Event Index'!$A$5:$A$1000,0)+4),"↦"),"")</f>
        <v/>
      </c>
    </row>
    <row r="46">
      <c r="D46" s="15">
        <f>IFERROR(HYPERLINK("#'Event Index'!A"&amp;(MATCH($C46,'Event Index'!$A$5:$A$1000,0)+4),"↦"),"")</f>
        <v/>
      </c>
    </row>
    <row r="47">
      <c r="D47" s="15">
        <f>IFERROR(HYPERLINK("#'Event Index'!A"&amp;(MATCH($C47,'Event Index'!$A$5:$A$1000,0)+4),"↦"),"")</f>
        <v/>
      </c>
    </row>
    <row r="48">
      <c r="D48" s="15">
        <f>IFERROR(HYPERLINK("#'Event Index'!A"&amp;(MATCH($C48,'Event Index'!$A$5:$A$1000,0)+4),"↦"),"")</f>
        <v/>
      </c>
    </row>
    <row r="49">
      <c r="D49" s="15">
        <f>IFERROR(HYPERLINK("#'Event Index'!A"&amp;(MATCH($C49,'Event Index'!$A$5:$A$1000,0)+4),"↦"),"")</f>
        <v/>
      </c>
    </row>
    <row r="50">
      <c r="D50" s="15">
        <f>IFERROR(HYPERLINK("#'Event Index'!A"&amp;(MATCH($C50,'Event Index'!$A$5:$A$1000,0)+4),"↦"),"")</f>
        <v/>
      </c>
    </row>
    <row r="51">
      <c r="D51" s="15">
        <f>IFERROR(HYPERLINK("#'Event Index'!A"&amp;(MATCH($C51,'Event Index'!$A$5:$A$1000,0)+4),"↦"),"")</f>
        <v/>
      </c>
    </row>
    <row r="52">
      <c r="D52" s="15">
        <f>IFERROR(HYPERLINK("#'Event Index'!A"&amp;(MATCH($C52,'Event Index'!$A$5:$A$1000,0)+4),"↦"),"")</f>
        <v/>
      </c>
    </row>
    <row r="53">
      <c r="D53" s="15">
        <f>IFERROR(HYPERLINK("#'Event Index'!A"&amp;(MATCH($C53,'Event Index'!$A$5:$A$1000,0)+4),"↦"),"")</f>
        <v/>
      </c>
    </row>
    <row r="54">
      <c r="D54" s="15">
        <f>IFERROR(HYPERLINK("#'Event Index'!A"&amp;(MATCH($C54,'Event Index'!$A$5:$A$1000,0)+4),"↦"),"")</f>
        <v/>
      </c>
    </row>
    <row r="55">
      <c r="D55" s="15">
        <f>IFERROR(HYPERLINK("#'Event Index'!A"&amp;(MATCH($C55,'Event Index'!$A$5:$A$1000,0)+4),"↦"),"")</f>
        <v/>
      </c>
    </row>
    <row r="56">
      <c r="D56" s="15">
        <f>IFERROR(HYPERLINK("#'Event Index'!A"&amp;(MATCH($C56,'Event Index'!$A$5:$A$1000,0)+4),"↦"),"")</f>
        <v/>
      </c>
    </row>
    <row r="57">
      <c r="D57" s="15">
        <f>IFERROR(HYPERLINK("#'Event Index'!A"&amp;(MATCH($C57,'Event Index'!$A$5:$A$1000,0)+4),"↦"),"")</f>
        <v/>
      </c>
    </row>
    <row r="58">
      <c r="D58" s="15">
        <f>IFERROR(HYPERLINK("#'Event Index'!A"&amp;(MATCH($C58,'Event Index'!$A$5:$A$1000,0)+4),"↦"),"")</f>
        <v/>
      </c>
    </row>
    <row r="59">
      <c r="D59" s="15">
        <f>IFERROR(HYPERLINK("#'Event Index'!A"&amp;(MATCH($C59,'Event Index'!$A$5:$A$1000,0)+4),"↦"),"")</f>
        <v/>
      </c>
    </row>
    <row r="60">
      <c r="D60" s="15">
        <f>IFERROR(HYPERLINK("#'Event Index'!A"&amp;(MATCH($C60,'Event Index'!$A$5:$A$1000,0)+4),"↦"),"")</f>
        <v/>
      </c>
    </row>
    <row r="61">
      <c r="D61" s="15">
        <f>IFERROR(HYPERLINK("#'Event Index'!A"&amp;(MATCH($C61,'Event Index'!$A$5:$A$1000,0)+4),"↦"),"")</f>
        <v/>
      </c>
    </row>
    <row r="62">
      <c r="D62" s="15">
        <f>IFERROR(HYPERLINK("#'Event Index'!A"&amp;(MATCH($C62,'Event Index'!$A$5:$A$1000,0)+4),"↦"),"")</f>
        <v/>
      </c>
    </row>
    <row r="63">
      <c r="D63" s="15">
        <f>IFERROR(HYPERLINK("#'Event Index'!A"&amp;(MATCH($C63,'Event Index'!$A$5:$A$1000,0)+4),"↦"),"")</f>
        <v/>
      </c>
    </row>
    <row r="64">
      <c r="D64" s="15">
        <f>IFERROR(HYPERLINK("#'Event Index'!A"&amp;(MATCH($C64,'Event Index'!$A$5:$A$1000,0)+4),"↦"),"")</f>
        <v/>
      </c>
    </row>
    <row r="65">
      <c r="D65" s="15">
        <f>IFERROR(HYPERLINK("#'Event Index'!A"&amp;(MATCH($C65,'Event Index'!$A$5:$A$1000,0)+4),"↦"),"")</f>
        <v/>
      </c>
    </row>
    <row r="66">
      <c r="D66" s="15">
        <f>IFERROR(HYPERLINK("#'Event Index'!A"&amp;(MATCH($C66,'Event Index'!$A$5:$A$1000,0)+4),"↦"),"")</f>
        <v/>
      </c>
    </row>
    <row r="67">
      <c r="D67" s="15">
        <f>IFERROR(HYPERLINK("#'Event Index'!A"&amp;(MATCH($C67,'Event Index'!$A$5:$A$1000,0)+4),"↦"),"")</f>
        <v/>
      </c>
    </row>
    <row r="68">
      <c r="D68" s="15">
        <f>IFERROR(HYPERLINK("#'Event Index'!A"&amp;(MATCH($C68,'Event Index'!$A$5:$A$1000,0)+4),"↦"),"")</f>
        <v/>
      </c>
    </row>
    <row r="69">
      <c r="D69" s="15">
        <f>IFERROR(HYPERLINK("#'Event Index'!A"&amp;(MATCH($C69,'Event Index'!$A$5:$A$1000,0)+4),"↦"),"")</f>
        <v/>
      </c>
    </row>
    <row r="70">
      <c r="D70" s="15">
        <f>IFERROR(HYPERLINK("#'Event Index'!A"&amp;(MATCH($C70,'Event Index'!$A$5:$A$1000,0)+4),"↦"),"")</f>
        <v/>
      </c>
    </row>
    <row r="71">
      <c r="D71" s="15">
        <f>IFERROR(HYPERLINK("#'Event Index'!A"&amp;(MATCH($C71,'Event Index'!$A$5:$A$1000,0)+4),"↦"),"")</f>
        <v/>
      </c>
    </row>
    <row r="72">
      <c r="D72" s="15">
        <f>IFERROR(HYPERLINK("#'Event Index'!A"&amp;(MATCH($C72,'Event Index'!$A$5:$A$1000,0)+4),"↦"),"")</f>
        <v/>
      </c>
    </row>
    <row r="73">
      <c r="D73" s="15">
        <f>IFERROR(HYPERLINK("#'Event Index'!A"&amp;(MATCH($C73,'Event Index'!$A$5:$A$1000,0)+4),"↦"),"")</f>
        <v/>
      </c>
    </row>
    <row r="74">
      <c r="D74" s="15">
        <f>IFERROR(HYPERLINK("#'Event Index'!A"&amp;(MATCH($C74,'Event Index'!$A$5:$A$1000,0)+4),"↦"),"")</f>
        <v/>
      </c>
    </row>
    <row r="75">
      <c r="D75" s="15">
        <f>IFERROR(HYPERLINK("#'Event Index'!A"&amp;(MATCH($C75,'Event Index'!$A$5:$A$1000,0)+4),"↦"),"")</f>
        <v/>
      </c>
    </row>
    <row r="76">
      <c r="D76" s="15">
        <f>IFERROR(HYPERLINK("#'Event Index'!A"&amp;(MATCH($C76,'Event Index'!$A$5:$A$1000,0)+4),"↦"),"")</f>
        <v/>
      </c>
    </row>
    <row r="77">
      <c r="D77" s="15">
        <f>IFERROR(HYPERLINK("#'Event Index'!A"&amp;(MATCH($C77,'Event Index'!$A$5:$A$1000,0)+4),"↦"),"")</f>
        <v/>
      </c>
    </row>
    <row r="78">
      <c r="D78" s="15">
        <f>IFERROR(HYPERLINK("#'Event Index'!A"&amp;(MATCH($C78,'Event Index'!$A$5:$A$1000,0)+4),"↦"),"")</f>
        <v/>
      </c>
    </row>
    <row r="79">
      <c r="D79" s="15">
        <f>IFERROR(HYPERLINK("#'Event Index'!A"&amp;(MATCH($C79,'Event Index'!$A$5:$A$1000,0)+4),"↦"),"")</f>
        <v/>
      </c>
    </row>
    <row r="80">
      <c r="D80" s="15">
        <f>IFERROR(HYPERLINK("#'Event Index'!A"&amp;(MATCH($C80,'Event Index'!$A$5:$A$1000,0)+4),"↦"),"")</f>
        <v/>
      </c>
    </row>
    <row r="81">
      <c r="D81" s="15">
        <f>IFERROR(HYPERLINK("#'Event Index'!A"&amp;(MATCH($C81,'Event Index'!$A$5:$A$1000,0)+4),"↦"),"")</f>
        <v/>
      </c>
    </row>
    <row r="82">
      <c r="D82" s="15">
        <f>IFERROR(HYPERLINK("#'Event Index'!A"&amp;(MATCH($C82,'Event Index'!$A$5:$A$1000,0)+4),"↦"),"")</f>
        <v/>
      </c>
    </row>
    <row r="83">
      <c r="D83" s="15">
        <f>IFERROR(HYPERLINK("#'Event Index'!A"&amp;(MATCH($C83,'Event Index'!$A$5:$A$1000,0)+4),"↦"),"")</f>
        <v/>
      </c>
    </row>
    <row r="84">
      <c r="D84" s="15">
        <f>IFERROR(HYPERLINK("#'Event Index'!A"&amp;(MATCH($C84,'Event Index'!$A$5:$A$1000,0)+4),"↦"),"")</f>
        <v/>
      </c>
    </row>
    <row r="85">
      <c r="D85" s="15">
        <f>IFERROR(HYPERLINK("#'Event Index'!A"&amp;(MATCH($C85,'Event Index'!$A$5:$A$1000,0)+4),"↦"),"")</f>
        <v/>
      </c>
    </row>
    <row r="86">
      <c r="D86" s="15">
        <f>IFERROR(HYPERLINK("#'Event Index'!A"&amp;(MATCH($C86,'Event Index'!$A$5:$A$1000,0)+4),"↦"),"")</f>
        <v/>
      </c>
    </row>
    <row r="87">
      <c r="D87" s="15">
        <f>IFERROR(HYPERLINK("#'Event Index'!A"&amp;(MATCH($C87,'Event Index'!$A$5:$A$1000,0)+4),"↦"),"")</f>
        <v/>
      </c>
    </row>
    <row r="88">
      <c r="D88" s="15">
        <f>IFERROR(HYPERLINK("#'Event Index'!A"&amp;(MATCH($C88,'Event Index'!$A$5:$A$1000,0)+4),"↦"),"")</f>
        <v/>
      </c>
    </row>
    <row r="89">
      <c r="D89" s="15">
        <f>IFERROR(HYPERLINK("#'Event Index'!A"&amp;(MATCH($C89,'Event Index'!$A$5:$A$1000,0)+4),"↦"),"")</f>
        <v/>
      </c>
    </row>
    <row r="90">
      <c r="D90" s="15">
        <f>IFERROR(HYPERLINK("#'Event Index'!A"&amp;(MATCH($C90,'Event Index'!$A$5:$A$1000,0)+4),"↦"),"")</f>
        <v/>
      </c>
    </row>
    <row r="91">
      <c r="D91" s="15">
        <f>IFERROR(HYPERLINK("#'Event Index'!A"&amp;(MATCH($C91,'Event Index'!$A$5:$A$1000,0)+4),"↦"),"")</f>
        <v/>
      </c>
    </row>
    <row r="92">
      <c r="D92" s="15">
        <f>IFERROR(HYPERLINK("#'Event Index'!A"&amp;(MATCH($C92,'Event Index'!$A$5:$A$1000,0)+4),"↦"),"")</f>
        <v/>
      </c>
    </row>
    <row r="93">
      <c r="D93" s="15">
        <f>IFERROR(HYPERLINK("#'Event Index'!A"&amp;(MATCH($C93,'Event Index'!$A$5:$A$1000,0)+4),"↦"),"")</f>
        <v/>
      </c>
    </row>
    <row r="94">
      <c r="D94" s="15">
        <f>IFERROR(HYPERLINK("#'Event Index'!A"&amp;(MATCH($C94,'Event Index'!$A$5:$A$1000,0)+4),"↦"),"")</f>
        <v/>
      </c>
    </row>
    <row r="95">
      <c r="D95" s="15">
        <f>IFERROR(HYPERLINK("#'Event Index'!A"&amp;(MATCH($C95,'Event Index'!$A$5:$A$1000,0)+4),"↦"),"")</f>
        <v/>
      </c>
    </row>
    <row r="96">
      <c r="D96" s="15">
        <f>IFERROR(HYPERLINK("#'Event Index'!A"&amp;(MATCH($C96,'Event Index'!$A$5:$A$1000,0)+4),"↦"),"")</f>
        <v/>
      </c>
    </row>
    <row r="97">
      <c r="D97" s="15">
        <f>IFERROR(HYPERLINK("#'Event Index'!A"&amp;(MATCH($C97,'Event Index'!$A$5:$A$1000,0)+4),"↦"),"")</f>
        <v/>
      </c>
    </row>
    <row r="98">
      <c r="D98" s="15">
        <f>IFERROR(HYPERLINK("#'Event Index'!A"&amp;(MATCH($C98,'Event Index'!$A$5:$A$1000,0)+4),"↦"),"")</f>
        <v/>
      </c>
    </row>
    <row r="99">
      <c r="D99" s="15">
        <f>IFERROR(HYPERLINK("#'Event Index'!A"&amp;(MATCH($C99,'Event Index'!$A$5:$A$1000,0)+4),"↦"),"")</f>
        <v/>
      </c>
    </row>
    <row r="100">
      <c r="D100" s="15">
        <f>IFERROR(HYPERLINK("#'Event Index'!A"&amp;(MATCH($C100,'Event Index'!$A$5:$A$1000,0)+4),"↦"),"")</f>
        <v/>
      </c>
    </row>
    <row r="101">
      <c r="D101" s="15">
        <f>IFERROR(HYPERLINK("#'Event Index'!A"&amp;(MATCH($C101,'Event Index'!$A$5:$A$1000,0)+4),"↦"),"")</f>
        <v/>
      </c>
    </row>
    <row r="102">
      <c r="D102" s="15">
        <f>IFERROR(HYPERLINK("#'Event Index'!A"&amp;(MATCH($C102,'Event Index'!$A$5:$A$1000,0)+4),"↦"),"")</f>
        <v/>
      </c>
    </row>
    <row r="103">
      <c r="D103" s="15">
        <f>IFERROR(HYPERLINK("#'Event Index'!A"&amp;(MATCH($C103,'Event Index'!$A$5:$A$1000,0)+4),"↦"),"")</f>
        <v/>
      </c>
    </row>
    <row r="104">
      <c r="D104" s="15">
        <f>IFERROR(HYPERLINK("#'Event Index'!A"&amp;(MATCH($C104,'Event Index'!$A$5:$A$1000,0)+4),"↦"),"")</f>
        <v/>
      </c>
    </row>
    <row r="105">
      <c r="D105" s="15">
        <f>IFERROR(HYPERLINK("#'Event Index'!A"&amp;(MATCH($C105,'Event Index'!$A$5:$A$1000,0)+4),"↦"),"")</f>
        <v/>
      </c>
    </row>
    <row r="106">
      <c r="D106" s="15">
        <f>IFERROR(HYPERLINK("#'Event Index'!A"&amp;(MATCH($C106,'Event Index'!$A$5:$A$1000,0)+4),"↦"),"")</f>
        <v/>
      </c>
    </row>
    <row r="107">
      <c r="D107" s="15">
        <f>IFERROR(HYPERLINK("#'Event Index'!A"&amp;(MATCH($C107,'Event Index'!$A$5:$A$1000,0)+4),"↦"),"")</f>
        <v/>
      </c>
    </row>
    <row r="108">
      <c r="D108" s="15">
        <f>IFERROR(HYPERLINK("#'Event Index'!A"&amp;(MATCH($C108,'Event Index'!$A$5:$A$1000,0)+4),"↦"),"")</f>
        <v/>
      </c>
    </row>
    <row r="109">
      <c r="D109" s="15">
        <f>IFERROR(HYPERLINK("#'Event Index'!A"&amp;(MATCH($C109,'Event Index'!$A$5:$A$1000,0)+4),"↦"),"")</f>
        <v/>
      </c>
    </row>
    <row r="110">
      <c r="D110" s="15">
        <f>IFERROR(HYPERLINK("#'Event Index'!A"&amp;(MATCH($C110,'Event Index'!$A$5:$A$1000,0)+4),"↦"),"")</f>
        <v/>
      </c>
    </row>
    <row r="111">
      <c r="D111" s="15">
        <f>IFERROR(HYPERLINK("#'Event Index'!A"&amp;(MATCH($C111,'Event Index'!$A$5:$A$1000,0)+4),"↦"),"")</f>
        <v/>
      </c>
    </row>
    <row r="112">
      <c r="D112" s="15">
        <f>IFERROR(HYPERLINK("#'Event Index'!A"&amp;(MATCH($C112,'Event Index'!$A$5:$A$1000,0)+4),"↦"),"")</f>
        <v/>
      </c>
    </row>
    <row r="113">
      <c r="D113" s="15">
        <f>IFERROR(HYPERLINK("#'Event Index'!A"&amp;(MATCH($C113,'Event Index'!$A$5:$A$1000,0)+4),"↦"),"")</f>
        <v/>
      </c>
    </row>
    <row r="114">
      <c r="D114" s="15">
        <f>IFERROR(HYPERLINK("#'Event Index'!A"&amp;(MATCH($C114,'Event Index'!$A$5:$A$1000,0)+4),"↦"),"")</f>
        <v/>
      </c>
    </row>
    <row r="115">
      <c r="D115" s="15">
        <f>IFERROR(HYPERLINK("#'Event Index'!A"&amp;(MATCH($C115,'Event Index'!$A$5:$A$1000,0)+4),"↦"),"")</f>
        <v/>
      </c>
    </row>
    <row r="116">
      <c r="D116" s="15">
        <f>IFERROR(HYPERLINK("#'Event Index'!A"&amp;(MATCH($C116,'Event Index'!$A$5:$A$1000,0)+4),"↦"),"")</f>
        <v/>
      </c>
    </row>
    <row r="117">
      <c r="D117" s="15">
        <f>IFERROR(HYPERLINK("#'Event Index'!A"&amp;(MATCH($C117,'Event Index'!$A$5:$A$1000,0)+4),"↦"),"")</f>
        <v/>
      </c>
    </row>
    <row r="118">
      <c r="D118" s="15">
        <f>IFERROR(HYPERLINK("#'Event Index'!A"&amp;(MATCH($C118,'Event Index'!$A$5:$A$1000,0)+4),"↦"),"")</f>
        <v/>
      </c>
    </row>
    <row r="119">
      <c r="D119" s="15">
        <f>IFERROR(HYPERLINK("#'Event Index'!A"&amp;(MATCH($C119,'Event Index'!$A$5:$A$1000,0)+4),"↦"),"")</f>
        <v/>
      </c>
    </row>
    <row r="120">
      <c r="D120" s="15">
        <f>IFERROR(HYPERLINK("#'Event Index'!A"&amp;(MATCH($C120,'Event Index'!$A$5:$A$1000,0)+4),"↦"),"")</f>
        <v/>
      </c>
    </row>
  </sheetData>
  <mergeCells count="2">
    <mergeCell ref="A2:K2"/>
    <mergeCell ref="A1:K1"/>
  </mergeCells>
  <dataValidations count="4">
    <dataValidation sqref="E5:E1000" showDropDown="0" showInputMessage="0" showErrorMessage="0" allowBlank="1" type="list">
      <formula1>='Lists &amp; Setup'!$C$5:$C$9</formula1>
    </dataValidation>
    <dataValidation sqref="F5:F1000" showDropDown="0" showInputMessage="0" showErrorMessage="0" allowBlank="1" type="list">
      <formula1>"Sent to Parent B,Received from Parent B"</formula1>
    </dataValidation>
    <dataValidation sqref="J5:J1000" showDropDown="0" showInputMessage="0" showErrorMessage="0" allowBlank="1" type="list">
      <formula1>"Yes,No,Partial"</formula1>
    </dataValidation>
    <dataValidation sqref="K5:K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4EDE6"/>
    <outlinePr summaryBelow="1" summaryRight="1"/>
    <pageSetUpPr/>
  </sheetPr>
  <dimension ref="A1:H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30" customWidth="1" min="4" max="4"/>
    <col width="30" customWidth="1" min="5" max="5"/>
    <col width="12" customWidth="1" min="6" max="6"/>
    <col width="12" customWidth="1" min="7" max="7"/>
    <col width="40" customWidth="1" min="8" max="8"/>
  </cols>
  <sheetData>
    <row r="1" ht="24" customHeight="1">
      <c r="A1" s="1" t="inlineStr">
        <is>
          <t>Court Ready™ · Exchange Log</t>
        </is>
      </c>
    </row>
    <row r="2">
      <c r="A2" s="3" t="inlineStr">
        <is>
          <t>One row per scheduled exchange or visitation. A pattern of late arrivals builds itself here.</t>
        </is>
      </c>
    </row>
    <row r="3">
      <c r="A3" s="21" t="inlineStr">
        <is>
          <t>SAMPLE DATA — a lived-in example for reference. Your real workbook starts empty; delete these rows to begin.</t>
        </is>
      </c>
    </row>
    <row r="4">
      <c r="A4" s="12" t="inlineStr">
        <is>
          <t>Date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Scheduled</t>
        </is>
      </c>
      <c r="E4" s="12" t="inlineStr">
        <is>
          <t>Actual Outcome</t>
        </is>
      </c>
      <c r="F4" s="12" t="inlineStr">
        <is>
          <t>Deviation?</t>
        </is>
      </c>
      <c r="G4" s="12" t="inlineStr">
        <is>
          <t>Minutes Late</t>
        </is>
      </c>
      <c r="H4" s="12" t="inlineStr">
        <is>
          <t>Notes — facts only</t>
        </is>
      </c>
    </row>
    <row r="5">
      <c r="A5" s="22" t="inlineStr">
        <is>
          <t>2026-07-18</t>
        </is>
      </c>
      <c r="B5" s="22" t="inlineStr">
        <is>
          <t>EVT-0001</t>
        </is>
      </c>
      <c r="C5" s="14">
        <f>IFERROR(HYPERLINK("#'Event Index'!A"&amp;(MATCH($B5,'Event Index'!$A$5:$A$1000,0)+4),"↦"),"")</f>
        <v/>
      </c>
      <c r="D5" s="22" t="inlineStr">
        <is>
          <t>Exchange 5:00 PM, Parent A residence</t>
        </is>
      </c>
      <c r="E5" s="22" t="inlineStr">
        <is>
          <t>Completed 5:25 PM</t>
        </is>
      </c>
      <c r="F5" s="22" t="inlineStr">
        <is>
          <t>Yes</t>
        </is>
      </c>
      <c r="G5" s="22" t="n">
        <v>22</v>
      </c>
      <c r="H5" s="22" t="inlineStr">
        <is>
          <t>No prior notice of delay</t>
        </is>
      </c>
    </row>
    <row r="6">
      <c r="A6" s="22" t="inlineStr">
        <is>
          <t>2026-07-25</t>
        </is>
      </c>
      <c r="B6" s="22" t="inlineStr">
        <is>
          <t>EVT-0004</t>
        </is>
      </c>
      <c r="C6" s="15">
        <f>IFERROR(HYPERLINK("#'Event Index'!A"&amp;(MATCH($B6,'Event Index'!$A$5:$A$1000,0)+4),"↦"),"")</f>
        <v/>
      </c>
      <c r="D6" s="22" t="inlineStr">
        <is>
          <t>Exchange 5:00 PM, Parent A residence</t>
        </is>
      </c>
      <c r="E6" s="22" t="inlineStr">
        <is>
          <t>Completed 5:00 PM</t>
        </is>
      </c>
      <c r="F6" s="22" t="inlineStr">
        <is>
          <t>No</t>
        </is>
      </c>
      <c r="G6" s="22" t="n">
        <v>0</v>
      </c>
      <c r="H6" s="22" t="inlineStr">
        <is>
          <t>On time</t>
        </is>
      </c>
    </row>
    <row r="7">
      <c r="A7" s="22" t="inlineStr">
        <is>
          <t>2026-08-01</t>
        </is>
      </c>
      <c r="B7" s="22" t="inlineStr">
        <is>
          <t>EVT-0005</t>
        </is>
      </c>
      <c r="C7" s="15">
        <f>IFERROR(HYPERLINK("#'Event Index'!A"&amp;(MATCH($B7,'Event Index'!$A$5:$A$1000,0)+4),"↦"),"")</f>
        <v/>
      </c>
      <c r="D7" s="22" t="inlineStr">
        <is>
          <t>Exchange 5:00 PM, Parent A residence</t>
        </is>
      </c>
      <c r="E7" s="22" t="inlineStr">
        <is>
          <t>Completed 5:38 PM</t>
        </is>
      </c>
      <c r="F7" s="22" t="inlineStr">
        <is>
          <t>Yes</t>
        </is>
      </c>
      <c r="G7" s="22" t="n">
        <v>35</v>
      </c>
      <c r="H7" s="22" t="inlineStr">
        <is>
          <t>No notice; child upset; neighbor witnessed</t>
        </is>
      </c>
    </row>
    <row r="8">
      <c r="A8" s="22" t="inlineStr">
        <is>
          <t>2026-08-15</t>
        </is>
      </c>
      <c r="B8" s="22" t="inlineStr">
        <is>
          <t>EVT-0009</t>
        </is>
      </c>
      <c r="C8" s="15">
        <f>IFERROR(HYPERLINK("#'Event Index'!A"&amp;(MATCH($B8,'Event Index'!$A$5:$A$1000,0)+4),"↦"),"")</f>
        <v/>
      </c>
      <c r="D8" s="22" t="inlineStr">
        <is>
          <t>Exchange 5:00 PM, Parent A residence</t>
        </is>
      </c>
      <c r="E8" s="22" t="inlineStr">
        <is>
          <t>Completed 5:19 PM</t>
        </is>
      </c>
      <c r="F8" s="22" t="inlineStr">
        <is>
          <t>Yes</t>
        </is>
      </c>
      <c r="G8" s="22" t="n">
        <v>18</v>
      </c>
      <c r="H8" s="22" t="inlineStr">
        <is>
          <t>No prior notice</t>
        </is>
      </c>
    </row>
    <row r="9">
      <c r="C9" s="15">
        <f>IFERROR(HYPERLINK("#'Event Index'!A"&amp;(MATCH($B9,'Event Index'!$A$5:$A$1000,0)+4),"↦"),"")</f>
        <v/>
      </c>
    </row>
    <row r="10">
      <c r="C10" s="15">
        <f>IFERROR(HYPERLINK("#'Event Index'!A"&amp;(MATCH($B10,'Event Index'!$A$5:$A$1000,0)+4),"↦"),"")</f>
        <v/>
      </c>
    </row>
    <row r="11">
      <c r="C11" s="15">
        <f>IFERROR(HYPERLINK("#'Event Index'!A"&amp;(MATCH($B11,'Event Index'!$A$5:$A$1000,0)+4),"↦"),"")</f>
        <v/>
      </c>
    </row>
    <row r="12">
      <c r="C12" s="15">
        <f>IFERROR(HYPERLINK("#'Event Index'!A"&amp;(MATCH($B12,'Event Index'!$A$5:$A$1000,0)+4),"↦"),"")</f>
        <v/>
      </c>
    </row>
    <row r="13">
      <c r="C13" s="15">
        <f>IFERROR(HYPERLINK("#'Event Index'!A"&amp;(MATCH($B13,'Event Index'!$A$5:$A$1000,0)+4),"↦"),"")</f>
        <v/>
      </c>
    </row>
    <row r="14">
      <c r="C14" s="15">
        <f>IFERROR(HYPERLINK("#'Event Index'!A"&amp;(MATCH($B14,'Event Index'!$A$5:$A$1000,0)+4),"↦"),"")</f>
        <v/>
      </c>
    </row>
    <row r="15">
      <c r="C15" s="15">
        <f>IFERROR(HYPERLINK("#'Event Index'!A"&amp;(MATCH($B15,'Event Index'!$A$5:$A$1000,0)+4),"↦"),"")</f>
        <v/>
      </c>
    </row>
    <row r="16">
      <c r="C16" s="15">
        <f>IFERROR(HYPERLINK("#'Event Index'!A"&amp;(MATCH($B16,'Event Index'!$A$5:$A$1000,0)+4),"↦"),"")</f>
        <v/>
      </c>
    </row>
    <row r="17">
      <c r="C17" s="15">
        <f>IFERROR(HYPERLINK("#'Event Index'!A"&amp;(MATCH($B17,'Event Index'!$A$5:$A$1000,0)+4),"↦"),"")</f>
        <v/>
      </c>
    </row>
    <row r="18">
      <c r="C18" s="15">
        <f>IFERROR(HYPERLINK("#'Event Index'!A"&amp;(MATCH($B18,'Event Index'!$A$5:$A$1000,0)+4),"↦"),"")</f>
        <v/>
      </c>
    </row>
    <row r="19">
      <c r="C19" s="15">
        <f>IFERROR(HYPERLINK("#'Event Index'!A"&amp;(MATCH($B19,'Event Index'!$A$5:$A$1000,0)+4),"↦"),"")</f>
        <v/>
      </c>
    </row>
    <row r="20">
      <c r="C20" s="15">
        <f>IFERROR(HYPERLINK("#'Event Index'!A"&amp;(MATCH($B20,'Event Index'!$A$5:$A$1000,0)+4),"↦"),"")</f>
        <v/>
      </c>
    </row>
    <row r="21">
      <c r="C21" s="15">
        <f>IFERROR(HYPERLINK("#'Event Index'!A"&amp;(MATCH($B21,'Event Index'!$A$5:$A$1000,0)+4),"↦"),"")</f>
        <v/>
      </c>
    </row>
    <row r="22">
      <c r="C22" s="15">
        <f>IFERROR(HYPERLINK("#'Event Index'!A"&amp;(MATCH($B22,'Event Index'!$A$5:$A$1000,0)+4),"↦"),"")</f>
        <v/>
      </c>
    </row>
    <row r="23">
      <c r="C23" s="15">
        <f>IFERROR(HYPERLINK("#'Event Index'!A"&amp;(MATCH($B23,'Event Index'!$A$5:$A$1000,0)+4),"↦"),"")</f>
        <v/>
      </c>
    </row>
    <row r="24">
      <c r="C24" s="15">
        <f>IFERROR(HYPERLINK("#'Event Index'!A"&amp;(MATCH($B24,'Event Index'!$A$5:$A$1000,0)+4),"↦"),"")</f>
        <v/>
      </c>
    </row>
    <row r="25">
      <c r="C25" s="15">
        <f>IFERROR(HYPERLINK("#'Event Index'!A"&amp;(MATCH($B25,'Event Index'!$A$5:$A$1000,0)+4),"↦"),"")</f>
        <v/>
      </c>
    </row>
    <row r="26">
      <c r="C26" s="15">
        <f>IFERROR(HYPERLINK("#'Event Index'!A"&amp;(MATCH($B26,'Event Index'!$A$5:$A$1000,0)+4),"↦"),"")</f>
        <v/>
      </c>
    </row>
    <row r="27">
      <c r="C27" s="15">
        <f>IFERROR(HYPERLINK("#'Event Index'!A"&amp;(MATCH($B27,'Event Index'!$A$5:$A$1000,0)+4),"↦"),"")</f>
        <v/>
      </c>
    </row>
    <row r="28">
      <c r="C28" s="15">
        <f>IFERROR(HYPERLINK("#'Event Index'!A"&amp;(MATCH($B28,'Event Index'!$A$5:$A$1000,0)+4),"↦"),"")</f>
        <v/>
      </c>
    </row>
    <row r="29">
      <c r="C29" s="15">
        <f>IFERROR(HYPERLINK("#'Event Index'!A"&amp;(MATCH($B29,'Event Index'!$A$5:$A$1000,0)+4),"↦"),"")</f>
        <v/>
      </c>
    </row>
    <row r="30">
      <c r="C30" s="15">
        <f>IFERROR(HYPERLINK("#'Event Index'!A"&amp;(MATCH($B30,'Event Index'!$A$5:$A$1000,0)+4),"↦"),"")</f>
        <v/>
      </c>
    </row>
    <row r="31">
      <c r="C31" s="15">
        <f>IFERROR(HYPERLINK("#'Event Index'!A"&amp;(MATCH($B31,'Event Index'!$A$5:$A$1000,0)+4),"↦"),"")</f>
        <v/>
      </c>
    </row>
    <row r="32">
      <c r="C32" s="15">
        <f>IFERROR(HYPERLINK("#'Event Index'!A"&amp;(MATCH($B32,'Event Index'!$A$5:$A$1000,0)+4),"↦"),"")</f>
        <v/>
      </c>
    </row>
    <row r="33">
      <c r="C33" s="15">
        <f>IFERROR(HYPERLINK("#'Event Index'!A"&amp;(MATCH($B33,'Event Index'!$A$5:$A$1000,0)+4),"↦"),"")</f>
        <v/>
      </c>
    </row>
    <row r="34">
      <c r="C34" s="15">
        <f>IFERROR(HYPERLINK("#'Event Index'!A"&amp;(MATCH($B34,'Event Index'!$A$5:$A$1000,0)+4),"↦"),"")</f>
        <v/>
      </c>
    </row>
    <row r="35">
      <c r="C35" s="15">
        <f>IFERROR(HYPERLINK("#'Event Index'!A"&amp;(MATCH($B35,'Event Index'!$A$5:$A$1000,0)+4),"↦"),"")</f>
        <v/>
      </c>
    </row>
    <row r="36">
      <c r="C36" s="15">
        <f>IFERROR(HYPERLINK("#'Event Index'!A"&amp;(MATCH($B36,'Event Index'!$A$5:$A$1000,0)+4),"↦"),"")</f>
        <v/>
      </c>
    </row>
    <row r="37">
      <c r="C37" s="15">
        <f>IFERROR(HYPERLINK("#'Event Index'!A"&amp;(MATCH($B37,'Event Index'!$A$5:$A$1000,0)+4),"↦"),"")</f>
        <v/>
      </c>
    </row>
    <row r="38">
      <c r="C38" s="15">
        <f>IFERROR(HYPERLINK("#'Event Index'!A"&amp;(MATCH($B38,'Event Index'!$A$5:$A$1000,0)+4),"↦"),"")</f>
        <v/>
      </c>
    </row>
    <row r="39">
      <c r="C39" s="15">
        <f>IFERROR(HYPERLINK("#'Event Index'!A"&amp;(MATCH($B39,'Event Index'!$A$5:$A$1000,0)+4),"↦"),"")</f>
        <v/>
      </c>
    </row>
    <row r="40">
      <c r="C40" s="15">
        <f>IFERROR(HYPERLINK("#'Event Index'!A"&amp;(MATCH($B40,'Event Index'!$A$5:$A$1000,0)+4),"↦"),"")</f>
        <v/>
      </c>
    </row>
    <row r="41">
      <c r="C41" s="15">
        <f>IFERROR(HYPERLINK("#'Event Index'!A"&amp;(MATCH($B41,'Event Index'!$A$5:$A$1000,0)+4),"↦"),"")</f>
        <v/>
      </c>
    </row>
    <row r="42">
      <c r="C42" s="15">
        <f>IFERROR(HYPERLINK("#'Event Index'!A"&amp;(MATCH($B42,'Event Index'!$A$5:$A$1000,0)+4),"↦"),"")</f>
        <v/>
      </c>
    </row>
    <row r="43">
      <c r="C43" s="15">
        <f>IFERROR(HYPERLINK("#'Event Index'!A"&amp;(MATCH($B43,'Event Index'!$A$5:$A$1000,0)+4),"↦"),"")</f>
        <v/>
      </c>
    </row>
    <row r="44">
      <c r="C44" s="15">
        <f>IFERROR(HYPERLINK("#'Event Index'!A"&amp;(MATCH($B44,'Event Index'!$A$5:$A$1000,0)+4),"↦"),"")</f>
        <v/>
      </c>
    </row>
    <row r="45">
      <c r="C45" s="15">
        <f>IFERROR(HYPERLINK("#'Event Index'!A"&amp;(MATCH($B45,'Event Index'!$A$5:$A$1000,0)+4),"↦"),"")</f>
        <v/>
      </c>
    </row>
    <row r="46">
      <c r="C46" s="15">
        <f>IFERROR(HYPERLINK("#'Event Index'!A"&amp;(MATCH($B46,'Event Index'!$A$5:$A$1000,0)+4),"↦"),"")</f>
        <v/>
      </c>
    </row>
    <row r="47">
      <c r="C47" s="15">
        <f>IFERROR(HYPERLINK("#'Event Index'!A"&amp;(MATCH($B47,'Event Index'!$A$5:$A$1000,0)+4),"↦"),"")</f>
        <v/>
      </c>
    </row>
    <row r="48">
      <c r="C48" s="15">
        <f>IFERROR(HYPERLINK("#'Event Index'!A"&amp;(MATCH($B48,'Event Index'!$A$5:$A$1000,0)+4),"↦"),"")</f>
        <v/>
      </c>
    </row>
    <row r="49">
      <c r="C49" s="15">
        <f>IFERROR(HYPERLINK("#'Event Index'!A"&amp;(MATCH($B49,'Event Index'!$A$5:$A$1000,0)+4),"↦"),"")</f>
        <v/>
      </c>
    </row>
    <row r="50">
      <c r="C50" s="15">
        <f>IFERROR(HYPERLINK("#'Event Index'!A"&amp;(MATCH($B50,'Event Index'!$A$5:$A$1000,0)+4),"↦"),"")</f>
        <v/>
      </c>
    </row>
    <row r="51">
      <c r="C51" s="15">
        <f>IFERROR(HYPERLINK("#'Event Index'!A"&amp;(MATCH($B51,'Event Index'!$A$5:$A$1000,0)+4),"↦"),"")</f>
        <v/>
      </c>
    </row>
    <row r="52">
      <c r="C52" s="15">
        <f>IFERROR(HYPERLINK("#'Event Index'!A"&amp;(MATCH($B52,'Event Index'!$A$5:$A$1000,0)+4),"↦"),"")</f>
        <v/>
      </c>
    </row>
    <row r="53">
      <c r="C53" s="15">
        <f>IFERROR(HYPERLINK("#'Event Index'!A"&amp;(MATCH($B53,'Event Index'!$A$5:$A$1000,0)+4),"↦"),"")</f>
        <v/>
      </c>
    </row>
    <row r="54">
      <c r="C54" s="15">
        <f>IFERROR(HYPERLINK("#'Event Index'!A"&amp;(MATCH($B54,'Event Index'!$A$5:$A$1000,0)+4),"↦"),"")</f>
        <v/>
      </c>
    </row>
    <row r="55">
      <c r="C55" s="15">
        <f>IFERROR(HYPERLINK("#'Event Index'!A"&amp;(MATCH($B55,'Event Index'!$A$5:$A$1000,0)+4),"↦"),"")</f>
        <v/>
      </c>
    </row>
    <row r="56">
      <c r="C56" s="15">
        <f>IFERROR(HYPERLINK("#'Event Index'!A"&amp;(MATCH($B56,'Event Index'!$A$5:$A$1000,0)+4),"↦"),"")</f>
        <v/>
      </c>
    </row>
    <row r="57">
      <c r="C57" s="15">
        <f>IFERROR(HYPERLINK("#'Event Index'!A"&amp;(MATCH($B57,'Event Index'!$A$5:$A$1000,0)+4),"↦"),"")</f>
        <v/>
      </c>
    </row>
    <row r="58">
      <c r="C58" s="15">
        <f>IFERROR(HYPERLINK("#'Event Index'!A"&amp;(MATCH($B58,'Event Index'!$A$5:$A$1000,0)+4),"↦"),"")</f>
        <v/>
      </c>
    </row>
    <row r="59">
      <c r="C59" s="15">
        <f>IFERROR(HYPERLINK("#'Event Index'!A"&amp;(MATCH($B59,'Event Index'!$A$5:$A$1000,0)+4),"↦"),"")</f>
        <v/>
      </c>
    </row>
    <row r="60">
      <c r="C60" s="15">
        <f>IFERROR(HYPERLINK("#'Event Index'!A"&amp;(MATCH($B60,'Event Index'!$A$5:$A$1000,0)+4),"↦"),"")</f>
        <v/>
      </c>
    </row>
    <row r="61">
      <c r="C61" s="15">
        <f>IFERROR(HYPERLINK("#'Event Index'!A"&amp;(MATCH($B61,'Event Index'!$A$5:$A$1000,0)+4),"↦"),"")</f>
        <v/>
      </c>
    </row>
    <row r="62">
      <c r="C62" s="15">
        <f>IFERROR(HYPERLINK("#'Event Index'!A"&amp;(MATCH($B62,'Event Index'!$A$5:$A$1000,0)+4),"↦"),"")</f>
        <v/>
      </c>
    </row>
    <row r="63">
      <c r="C63" s="15">
        <f>IFERROR(HYPERLINK("#'Event Index'!A"&amp;(MATCH($B63,'Event Index'!$A$5:$A$1000,0)+4),"↦"),"")</f>
        <v/>
      </c>
    </row>
    <row r="64">
      <c r="C64" s="15">
        <f>IFERROR(HYPERLINK("#'Event Index'!A"&amp;(MATCH($B64,'Event Index'!$A$5:$A$1000,0)+4),"↦"),"")</f>
        <v/>
      </c>
    </row>
    <row r="65">
      <c r="C65" s="15">
        <f>IFERROR(HYPERLINK("#'Event Index'!A"&amp;(MATCH($B65,'Event Index'!$A$5:$A$1000,0)+4),"↦"),"")</f>
        <v/>
      </c>
    </row>
    <row r="66">
      <c r="C66" s="15">
        <f>IFERROR(HYPERLINK("#'Event Index'!A"&amp;(MATCH($B66,'Event Index'!$A$5:$A$1000,0)+4),"↦"),"")</f>
        <v/>
      </c>
    </row>
    <row r="67">
      <c r="C67" s="15">
        <f>IFERROR(HYPERLINK("#'Event Index'!A"&amp;(MATCH($B67,'Event Index'!$A$5:$A$1000,0)+4),"↦"),"")</f>
        <v/>
      </c>
    </row>
    <row r="68">
      <c r="C68" s="15">
        <f>IFERROR(HYPERLINK("#'Event Index'!A"&amp;(MATCH($B68,'Event Index'!$A$5:$A$1000,0)+4),"↦"),"")</f>
        <v/>
      </c>
    </row>
    <row r="69">
      <c r="C69" s="15">
        <f>IFERROR(HYPERLINK("#'Event Index'!A"&amp;(MATCH($B69,'Event Index'!$A$5:$A$1000,0)+4),"↦"),"")</f>
        <v/>
      </c>
    </row>
    <row r="70">
      <c r="C70" s="15">
        <f>IFERROR(HYPERLINK("#'Event Index'!A"&amp;(MATCH($B70,'Event Index'!$A$5:$A$1000,0)+4),"↦"),"")</f>
        <v/>
      </c>
    </row>
    <row r="71">
      <c r="C71" s="15">
        <f>IFERROR(HYPERLINK("#'Event Index'!A"&amp;(MATCH($B71,'Event Index'!$A$5:$A$1000,0)+4),"↦"),"")</f>
        <v/>
      </c>
    </row>
    <row r="72">
      <c r="C72" s="15">
        <f>IFERROR(HYPERLINK("#'Event Index'!A"&amp;(MATCH($B72,'Event Index'!$A$5:$A$1000,0)+4),"↦"),"")</f>
        <v/>
      </c>
    </row>
    <row r="73">
      <c r="C73" s="15">
        <f>IFERROR(HYPERLINK("#'Event Index'!A"&amp;(MATCH($B73,'Event Index'!$A$5:$A$1000,0)+4),"↦"),"")</f>
        <v/>
      </c>
    </row>
    <row r="74">
      <c r="C74" s="15">
        <f>IFERROR(HYPERLINK("#'Event Index'!A"&amp;(MATCH($B74,'Event Index'!$A$5:$A$1000,0)+4),"↦"),"")</f>
        <v/>
      </c>
    </row>
    <row r="75">
      <c r="C75" s="15">
        <f>IFERROR(HYPERLINK("#'Event Index'!A"&amp;(MATCH($B75,'Event Index'!$A$5:$A$1000,0)+4),"↦"),"")</f>
        <v/>
      </c>
    </row>
    <row r="76">
      <c r="C76" s="15">
        <f>IFERROR(HYPERLINK("#'Event Index'!A"&amp;(MATCH($B76,'Event Index'!$A$5:$A$1000,0)+4),"↦"),"")</f>
        <v/>
      </c>
    </row>
    <row r="77">
      <c r="C77" s="15">
        <f>IFERROR(HYPERLINK("#'Event Index'!A"&amp;(MATCH($B77,'Event Index'!$A$5:$A$1000,0)+4),"↦"),"")</f>
        <v/>
      </c>
    </row>
    <row r="78">
      <c r="C78" s="15">
        <f>IFERROR(HYPERLINK("#'Event Index'!A"&amp;(MATCH($B78,'Event Index'!$A$5:$A$1000,0)+4),"↦"),"")</f>
        <v/>
      </c>
    </row>
    <row r="79">
      <c r="C79" s="15">
        <f>IFERROR(HYPERLINK("#'Event Index'!A"&amp;(MATCH($B79,'Event Index'!$A$5:$A$1000,0)+4),"↦"),"")</f>
        <v/>
      </c>
    </row>
    <row r="80">
      <c r="C80" s="15">
        <f>IFERROR(HYPERLINK("#'Event Index'!A"&amp;(MATCH($B80,'Event Index'!$A$5:$A$1000,0)+4),"↦"),"")</f>
        <v/>
      </c>
    </row>
    <row r="81">
      <c r="C81" s="15">
        <f>IFERROR(HYPERLINK("#'Event Index'!A"&amp;(MATCH($B81,'Event Index'!$A$5:$A$1000,0)+4),"↦"),"")</f>
        <v/>
      </c>
    </row>
    <row r="82">
      <c r="C82" s="15">
        <f>IFERROR(HYPERLINK("#'Event Index'!A"&amp;(MATCH($B82,'Event Index'!$A$5:$A$1000,0)+4),"↦"),"")</f>
        <v/>
      </c>
    </row>
    <row r="83">
      <c r="C83" s="15">
        <f>IFERROR(HYPERLINK("#'Event Index'!A"&amp;(MATCH($B83,'Event Index'!$A$5:$A$1000,0)+4),"↦"),"")</f>
        <v/>
      </c>
    </row>
    <row r="84">
      <c r="C84" s="15">
        <f>IFERROR(HYPERLINK("#'Event Index'!A"&amp;(MATCH($B84,'Event Index'!$A$5:$A$1000,0)+4),"↦"),"")</f>
        <v/>
      </c>
    </row>
    <row r="85">
      <c r="C85" s="15">
        <f>IFERROR(HYPERLINK("#'Event Index'!A"&amp;(MATCH($B85,'Event Index'!$A$5:$A$1000,0)+4),"↦"),"")</f>
        <v/>
      </c>
    </row>
    <row r="86">
      <c r="C86" s="15">
        <f>IFERROR(HYPERLINK("#'Event Index'!A"&amp;(MATCH($B86,'Event Index'!$A$5:$A$1000,0)+4),"↦"),"")</f>
        <v/>
      </c>
    </row>
    <row r="87">
      <c r="C87" s="15">
        <f>IFERROR(HYPERLINK("#'Event Index'!A"&amp;(MATCH($B87,'Event Index'!$A$5:$A$1000,0)+4),"↦"),"")</f>
        <v/>
      </c>
    </row>
    <row r="88">
      <c r="C88" s="15">
        <f>IFERROR(HYPERLINK("#'Event Index'!A"&amp;(MATCH($B88,'Event Index'!$A$5:$A$1000,0)+4),"↦"),"")</f>
        <v/>
      </c>
    </row>
    <row r="89">
      <c r="C89" s="15">
        <f>IFERROR(HYPERLINK("#'Event Index'!A"&amp;(MATCH($B89,'Event Index'!$A$5:$A$1000,0)+4),"↦"),"")</f>
        <v/>
      </c>
    </row>
    <row r="90">
      <c r="C90" s="15">
        <f>IFERROR(HYPERLINK("#'Event Index'!A"&amp;(MATCH($B90,'Event Index'!$A$5:$A$1000,0)+4),"↦"),"")</f>
        <v/>
      </c>
    </row>
    <row r="91">
      <c r="C91" s="15">
        <f>IFERROR(HYPERLINK("#'Event Index'!A"&amp;(MATCH($B91,'Event Index'!$A$5:$A$1000,0)+4),"↦"),"")</f>
        <v/>
      </c>
    </row>
    <row r="92">
      <c r="C92" s="15">
        <f>IFERROR(HYPERLINK("#'Event Index'!A"&amp;(MATCH($B92,'Event Index'!$A$5:$A$1000,0)+4),"↦"),"")</f>
        <v/>
      </c>
    </row>
    <row r="93">
      <c r="C93" s="15">
        <f>IFERROR(HYPERLINK("#'Event Index'!A"&amp;(MATCH($B93,'Event Index'!$A$5:$A$1000,0)+4),"↦"),"")</f>
        <v/>
      </c>
    </row>
    <row r="94">
      <c r="C94" s="15">
        <f>IFERROR(HYPERLINK("#'Event Index'!A"&amp;(MATCH($B94,'Event Index'!$A$5:$A$1000,0)+4),"↦"),"")</f>
        <v/>
      </c>
    </row>
    <row r="95">
      <c r="C95" s="15">
        <f>IFERROR(HYPERLINK("#'Event Index'!A"&amp;(MATCH($B95,'Event Index'!$A$5:$A$1000,0)+4),"↦"),"")</f>
        <v/>
      </c>
    </row>
    <row r="96">
      <c r="C96" s="15">
        <f>IFERROR(HYPERLINK("#'Event Index'!A"&amp;(MATCH($B96,'Event Index'!$A$5:$A$1000,0)+4),"↦"),"")</f>
        <v/>
      </c>
    </row>
    <row r="97">
      <c r="C97" s="15">
        <f>IFERROR(HYPERLINK("#'Event Index'!A"&amp;(MATCH($B97,'Event Index'!$A$5:$A$1000,0)+4),"↦"),"")</f>
        <v/>
      </c>
    </row>
    <row r="98">
      <c r="C98" s="15">
        <f>IFERROR(HYPERLINK("#'Event Index'!A"&amp;(MATCH($B98,'Event Index'!$A$5:$A$1000,0)+4),"↦"),"")</f>
        <v/>
      </c>
    </row>
    <row r="99">
      <c r="C99" s="15">
        <f>IFERROR(HYPERLINK("#'Event Index'!A"&amp;(MATCH($B99,'Event Index'!$A$5:$A$1000,0)+4),"↦"),"")</f>
        <v/>
      </c>
    </row>
    <row r="100">
      <c r="C100" s="15">
        <f>IFERROR(HYPERLINK("#'Event Index'!A"&amp;(MATCH($B100,'Event Index'!$A$5:$A$1000,0)+4),"↦"),"")</f>
        <v/>
      </c>
    </row>
    <row r="101">
      <c r="C101" s="15">
        <f>IFERROR(HYPERLINK("#'Event Index'!A"&amp;(MATCH($B101,'Event Index'!$A$5:$A$1000,0)+4),"↦"),"")</f>
        <v/>
      </c>
    </row>
    <row r="102">
      <c r="C102" s="15">
        <f>IFERROR(HYPERLINK("#'Event Index'!A"&amp;(MATCH($B102,'Event Index'!$A$5:$A$1000,0)+4),"↦"),"")</f>
        <v/>
      </c>
    </row>
    <row r="103">
      <c r="C103" s="15">
        <f>IFERROR(HYPERLINK("#'Event Index'!A"&amp;(MATCH($B103,'Event Index'!$A$5:$A$1000,0)+4),"↦"),"")</f>
        <v/>
      </c>
    </row>
    <row r="104">
      <c r="C104" s="15">
        <f>IFERROR(HYPERLINK("#'Event Index'!A"&amp;(MATCH($B104,'Event Index'!$A$5:$A$1000,0)+4),"↦"),"")</f>
        <v/>
      </c>
    </row>
    <row r="105">
      <c r="C105" s="15">
        <f>IFERROR(HYPERLINK("#'Event Index'!A"&amp;(MATCH($B105,'Event Index'!$A$5:$A$1000,0)+4),"↦"),"")</f>
        <v/>
      </c>
    </row>
    <row r="106">
      <c r="C106" s="15">
        <f>IFERROR(HYPERLINK("#'Event Index'!A"&amp;(MATCH($B106,'Event Index'!$A$5:$A$1000,0)+4),"↦"),"")</f>
        <v/>
      </c>
    </row>
    <row r="107">
      <c r="C107" s="15">
        <f>IFERROR(HYPERLINK("#'Event Index'!A"&amp;(MATCH($B107,'Event Index'!$A$5:$A$1000,0)+4),"↦"),"")</f>
        <v/>
      </c>
    </row>
    <row r="108">
      <c r="C108" s="15">
        <f>IFERROR(HYPERLINK("#'Event Index'!A"&amp;(MATCH($B108,'Event Index'!$A$5:$A$1000,0)+4),"↦"),"")</f>
        <v/>
      </c>
    </row>
    <row r="109">
      <c r="C109" s="15">
        <f>IFERROR(HYPERLINK("#'Event Index'!A"&amp;(MATCH($B109,'Event Index'!$A$5:$A$1000,0)+4),"↦"),"")</f>
        <v/>
      </c>
    </row>
    <row r="110">
      <c r="C110" s="15">
        <f>IFERROR(HYPERLINK("#'Event Index'!A"&amp;(MATCH($B110,'Event Index'!$A$5:$A$1000,0)+4),"↦"),"")</f>
        <v/>
      </c>
    </row>
    <row r="111">
      <c r="C111" s="15">
        <f>IFERROR(HYPERLINK("#'Event Index'!A"&amp;(MATCH($B111,'Event Index'!$A$5:$A$1000,0)+4),"↦"),"")</f>
        <v/>
      </c>
    </row>
    <row r="112">
      <c r="C112" s="15">
        <f>IFERROR(HYPERLINK("#'Event Index'!A"&amp;(MATCH($B112,'Event Index'!$A$5:$A$1000,0)+4),"↦"),"")</f>
        <v/>
      </c>
    </row>
    <row r="113">
      <c r="C113" s="15">
        <f>IFERROR(HYPERLINK("#'Event Index'!A"&amp;(MATCH($B113,'Event Index'!$A$5:$A$1000,0)+4),"↦"),"")</f>
        <v/>
      </c>
    </row>
    <row r="114">
      <c r="C114" s="15">
        <f>IFERROR(HYPERLINK("#'Event Index'!A"&amp;(MATCH($B114,'Event Index'!$A$5:$A$1000,0)+4),"↦"),"")</f>
        <v/>
      </c>
    </row>
    <row r="115">
      <c r="C115" s="15">
        <f>IFERROR(HYPERLINK("#'Event Index'!A"&amp;(MATCH($B115,'Event Index'!$A$5:$A$1000,0)+4),"↦"),"")</f>
        <v/>
      </c>
    </row>
    <row r="116">
      <c r="C116" s="15">
        <f>IFERROR(HYPERLINK("#'Event Index'!A"&amp;(MATCH($B116,'Event Index'!$A$5:$A$1000,0)+4),"↦"),"")</f>
        <v/>
      </c>
    </row>
    <row r="117">
      <c r="C117" s="15">
        <f>IFERROR(HYPERLINK("#'Event Index'!A"&amp;(MATCH($B117,'Event Index'!$A$5:$A$1000,0)+4),"↦"),"")</f>
        <v/>
      </c>
    </row>
    <row r="118">
      <c r="C118" s="15">
        <f>IFERROR(HYPERLINK("#'Event Index'!A"&amp;(MATCH($B118,'Event Index'!$A$5:$A$1000,0)+4),"↦"),"")</f>
        <v/>
      </c>
    </row>
    <row r="119">
      <c r="C119" s="15">
        <f>IFERROR(HYPERLINK("#'Event Index'!A"&amp;(MATCH($B119,'Event Index'!$A$5:$A$1000,0)+4),"↦"),"")</f>
        <v/>
      </c>
    </row>
    <row r="120">
      <c r="C120" s="15">
        <f>IFERROR(HYPERLINK("#'Event Index'!A"&amp;(MATCH($B120,'Event Index'!$A$5:$A$1000,0)+4),"↦"),"")</f>
        <v/>
      </c>
    </row>
  </sheetData>
  <mergeCells count="2">
    <mergeCell ref="A2:H2"/>
    <mergeCell ref="A1:H1"/>
  </mergeCells>
  <dataValidations count="1">
    <dataValidation sqref="F5:F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4EDE6"/>
    <outlinePr summaryBelow="1" summaryRight="1"/>
    <pageSetUpPr/>
  </sheetPr>
  <dimension ref="A1:J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14" customWidth="1" min="4" max="4"/>
    <col width="20" customWidth="1" min="5" max="5"/>
    <col width="22" customWidth="1" min="6" max="6"/>
    <col width="30" customWidth="1" min="7" max="7"/>
    <col width="14" customWidth="1" min="8" max="8"/>
    <col width="14" customWidth="1" min="9" max="9"/>
    <col width="30" customWidth="1" min="10" max="10"/>
  </cols>
  <sheetData>
    <row r="1" ht="24" customHeight="1">
      <c r="A1" s="1" t="inlineStr">
        <is>
          <t>Court Ready™ · Medical</t>
        </is>
      </c>
    </row>
    <row r="2">
      <c r="A2" s="3" t="inlineStr">
        <is>
          <t>Appointments, prescriptions, injuries, provider contacts. Facts and instructions only.</t>
        </is>
      </c>
    </row>
    <row r="3">
      <c r="A3" s="21" t="inlineStr">
        <is>
          <t>SAMPLE DATA — a lived-in example for reference. Your real workbook starts empty; delete these rows to begin.</t>
        </is>
      </c>
    </row>
    <row r="4">
      <c r="A4" s="12" t="inlineStr">
        <is>
          <t>Date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Child</t>
        </is>
      </c>
      <c r="E4" s="12" t="inlineStr">
        <is>
          <t>Provider</t>
        </is>
      </c>
      <c r="F4" s="12" t="inlineStr">
        <is>
          <t>Reason / Visit Type</t>
        </is>
      </c>
      <c r="G4" s="12" t="inlineStr">
        <is>
          <t>Outcome / Instructions</t>
        </is>
      </c>
      <c r="H4" s="12" t="inlineStr">
        <is>
          <t>Parent B Notified</t>
        </is>
      </c>
      <c r="I4" s="12" t="inlineStr">
        <is>
          <t>Follow-Up Needed</t>
        </is>
      </c>
      <c r="J4" s="12" t="inlineStr">
        <is>
          <t>Notes — facts only</t>
        </is>
      </c>
    </row>
    <row r="5">
      <c r="A5" s="22" t="inlineStr">
        <is>
          <t>2026-07-19</t>
        </is>
      </c>
      <c r="B5" s="22" t="inlineStr">
        <is>
          <t>EVT-0002</t>
        </is>
      </c>
      <c r="C5" s="14">
        <f>IFERROR(HYPERLINK("#'Event Index'!A"&amp;(MATCH($B5,'Event Index'!$A$5:$A$1000,0)+4),"↦"),"")</f>
        <v/>
      </c>
      <c r="D5" s="22" t="inlineStr">
        <is>
          <t>Emma</t>
        </is>
      </c>
      <c r="E5" s="22" t="inlineStr">
        <is>
          <t>Dr. Patel — Pediatrics</t>
        </is>
      </c>
      <c r="F5" s="22" t="inlineStr">
        <is>
          <t>Well-child visit</t>
        </is>
      </c>
      <c r="G5" s="22" t="inlineStr">
        <is>
          <t>Continue current care; next visit 6 mo.</t>
        </is>
      </c>
      <c r="H5" s="22" t="inlineStr">
        <is>
          <t>Yes</t>
        </is>
      </c>
      <c r="I5" s="22" t="inlineStr">
        <is>
          <t>No</t>
        </is>
      </c>
      <c r="J5" s="22" t="inlineStr">
        <is>
          <t>Co-pay $25 (logged on Expense tab)</t>
        </is>
      </c>
    </row>
    <row r="6">
      <c r="A6" s="22" t="inlineStr">
        <is>
          <t>2026-08-20</t>
        </is>
      </c>
      <c r="B6" s="22" t="inlineStr">
        <is>
          <t>EVT-0010</t>
        </is>
      </c>
      <c r="C6" s="15">
        <f>IFERROR(HYPERLINK("#'Event Index'!A"&amp;(MATCH($B6,'Event Index'!$A$5:$A$1000,0)+4),"↦"),"")</f>
        <v/>
      </c>
      <c r="D6" s="22" t="inlineStr">
        <is>
          <t>Emma</t>
        </is>
      </c>
      <c r="E6" s="22" t="inlineStr">
        <is>
          <t>Bright Smiles Orthodontics</t>
        </is>
      </c>
      <c r="F6" s="22" t="inlineStr">
        <is>
          <t>Orthodontist consultation (agreed)</t>
        </is>
      </c>
      <c r="G6" s="22" t="inlineStr">
        <is>
          <t>Consult booked September; cost split 50/50</t>
        </is>
      </c>
      <c r="H6" s="22" t="inlineStr">
        <is>
          <t>Yes</t>
        </is>
      </c>
      <c r="I6" s="22" t="inlineStr">
        <is>
          <t>Yes</t>
        </is>
      </c>
      <c r="J6" s="22" t="inlineStr">
        <is>
          <t>Both parents agreed by phone</t>
        </is>
      </c>
    </row>
    <row r="7">
      <c r="C7" s="15">
        <f>IFERROR(HYPERLINK("#'Event Index'!A"&amp;(MATCH($B7,'Event Index'!$A$5:$A$1000,0)+4),"↦"),"")</f>
        <v/>
      </c>
    </row>
    <row r="8">
      <c r="C8" s="15">
        <f>IFERROR(HYPERLINK("#'Event Index'!A"&amp;(MATCH($B8,'Event Index'!$A$5:$A$1000,0)+4),"↦"),"")</f>
        <v/>
      </c>
    </row>
    <row r="9">
      <c r="C9" s="15">
        <f>IFERROR(HYPERLINK("#'Event Index'!A"&amp;(MATCH($B9,'Event Index'!$A$5:$A$1000,0)+4),"↦"),"")</f>
        <v/>
      </c>
    </row>
    <row r="10">
      <c r="C10" s="15">
        <f>IFERROR(HYPERLINK("#'Event Index'!A"&amp;(MATCH($B10,'Event Index'!$A$5:$A$1000,0)+4),"↦"),"")</f>
        <v/>
      </c>
    </row>
    <row r="11">
      <c r="C11" s="15">
        <f>IFERROR(HYPERLINK("#'Event Index'!A"&amp;(MATCH($B11,'Event Index'!$A$5:$A$1000,0)+4),"↦"),"")</f>
        <v/>
      </c>
    </row>
    <row r="12">
      <c r="C12" s="15">
        <f>IFERROR(HYPERLINK("#'Event Index'!A"&amp;(MATCH($B12,'Event Index'!$A$5:$A$1000,0)+4),"↦"),"")</f>
        <v/>
      </c>
    </row>
    <row r="13">
      <c r="C13" s="15">
        <f>IFERROR(HYPERLINK("#'Event Index'!A"&amp;(MATCH($B13,'Event Index'!$A$5:$A$1000,0)+4),"↦"),"")</f>
        <v/>
      </c>
    </row>
    <row r="14">
      <c r="C14" s="15">
        <f>IFERROR(HYPERLINK("#'Event Index'!A"&amp;(MATCH($B14,'Event Index'!$A$5:$A$1000,0)+4),"↦"),"")</f>
        <v/>
      </c>
    </row>
    <row r="15">
      <c r="C15" s="15">
        <f>IFERROR(HYPERLINK("#'Event Index'!A"&amp;(MATCH($B15,'Event Index'!$A$5:$A$1000,0)+4),"↦"),"")</f>
        <v/>
      </c>
    </row>
    <row r="16">
      <c r="C16" s="15">
        <f>IFERROR(HYPERLINK("#'Event Index'!A"&amp;(MATCH($B16,'Event Index'!$A$5:$A$1000,0)+4),"↦"),"")</f>
        <v/>
      </c>
    </row>
    <row r="17">
      <c r="C17" s="15">
        <f>IFERROR(HYPERLINK("#'Event Index'!A"&amp;(MATCH($B17,'Event Index'!$A$5:$A$1000,0)+4),"↦"),"")</f>
        <v/>
      </c>
    </row>
    <row r="18">
      <c r="C18" s="15">
        <f>IFERROR(HYPERLINK("#'Event Index'!A"&amp;(MATCH($B18,'Event Index'!$A$5:$A$1000,0)+4),"↦"),"")</f>
        <v/>
      </c>
    </row>
    <row r="19">
      <c r="C19" s="15">
        <f>IFERROR(HYPERLINK("#'Event Index'!A"&amp;(MATCH($B19,'Event Index'!$A$5:$A$1000,0)+4),"↦"),"")</f>
        <v/>
      </c>
    </row>
    <row r="20">
      <c r="C20" s="15">
        <f>IFERROR(HYPERLINK("#'Event Index'!A"&amp;(MATCH($B20,'Event Index'!$A$5:$A$1000,0)+4),"↦"),"")</f>
        <v/>
      </c>
    </row>
    <row r="21">
      <c r="C21" s="15">
        <f>IFERROR(HYPERLINK("#'Event Index'!A"&amp;(MATCH($B21,'Event Index'!$A$5:$A$1000,0)+4),"↦"),"")</f>
        <v/>
      </c>
    </row>
    <row r="22">
      <c r="C22" s="15">
        <f>IFERROR(HYPERLINK("#'Event Index'!A"&amp;(MATCH($B22,'Event Index'!$A$5:$A$1000,0)+4),"↦"),"")</f>
        <v/>
      </c>
    </row>
    <row r="23">
      <c r="C23" s="15">
        <f>IFERROR(HYPERLINK("#'Event Index'!A"&amp;(MATCH($B23,'Event Index'!$A$5:$A$1000,0)+4),"↦"),"")</f>
        <v/>
      </c>
    </row>
    <row r="24">
      <c r="C24" s="15">
        <f>IFERROR(HYPERLINK("#'Event Index'!A"&amp;(MATCH($B24,'Event Index'!$A$5:$A$1000,0)+4),"↦"),"")</f>
        <v/>
      </c>
    </row>
    <row r="25">
      <c r="C25" s="15">
        <f>IFERROR(HYPERLINK("#'Event Index'!A"&amp;(MATCH($B25,'Event Index'!$A$5:$A$1000,0)+4),"↦"),"")</f>
        <v/>
      </c>
    </row>
    <row r="26">
      <c r="C26" s="15">
        <f>IFERROR(HYPERLINK("#'Event Index'!A"&amp;(MATCH($B26,'Event Index'!$A$5:$A$1000,0)+4),"↦"),"")</f>
        <v/>
      </c>
    </row>
    <row r="27">
      <c r="C27" s="15">
        <f>IFERROR(HYPERLINK("#'Event Index'!A"&amp;(MATCH($B27,'Event Index'!$A$5:$A$1000,0)+4),"↦"),"")</f>
        <v/>
      </c>
    </row>
    <row r="28">
      <c r="C28" s="15">
        <f>IFERROR(HYPERLINK("#'Event Index'!A"&amp;(MATCH($B28,'Event Index'!$A$5:$A$1000,0)+4),"↦"),"")</f>
        <v/>
      </c>
    </row>
    <row r="29">
      <c r="C29" s="15">
        <f>IFERROR(HYPERLINK("#'Event Index'!A"&amp;(MATCH($B29,'Event Index'!$A$5:$A$1000,0)+4),"↦"),"")</f>
        <v/>
      </c>
    </row>
    <row r="30">
      <c r="C30" s="15">
        <f>IFERROR(HYPERLINK("#'Event Index'!A"&amp;(MATCH($B30,'Event Index'!$A$5:$A$1000,0)+4),"↦"),"")</f>
        <v/>
      </c>
    </row>
    <row r="31">
      <c r="C31" s="15">
        <f>IFERROR(HYPERLINK("#'Event Index'!A"&amp;(MATCH($B31,'Event Index'!$A$5:$A$1000,0)+4),"↦"),"")</f>
        <v/>
      </c>
    </row>
    <row r="32">
      <c r="C32" s="15">
        <f>IFERROR(HYPERLINK("#'Event Index'!A"&amp;(MATCH($B32,'Event Index'!$A$5:$A$1000,0)+4),"↦"),"")</f>
        <v/>
      </c>
    </row>
    <row r="33">
      <c r="C33" s="15">
        <f>IFERROR(HYPERLINK("#'Event Index'!A"&amp;(MATCH($B33,'Event Index'!$A$5:$A$1000,0)+4),"↦"),"")</f>
        <v/>
      </c>
    </row>
    <row r="34">
      <c r="C34" s="15">
        <f>IFERROR(HYPERLINK("#'Event Index'!A"&amp;(MATCH($B34,'Event Index'!$A$5:$A$1000,0)+4),"↦"),"")</f>
        <v/>
      </c>
    </row>
    <row r="35">
      <c r="C35" s="15">
        <f>IFERROR(HYPERLINK("#'Event Index'!A"&amp;(MATCH($B35,'Event Index'!$A$5:$A$1000,0)+4),"↦"),"")</f>
        <v/>
      </c>
    </row>
    <row r="36">
      <c r="C36" s="15">
        <f>IFERROR(HYPERLINK("#'Event Index'!A"&amp;(MATCH($B36,'Event Index'!$A$5:$A$1000,0)+4),"↦"),"")</f>
        <v/>
      </c>
    </row>
    <row r="37">
      <c r="C37" s="15">
        <f>IFERROR(HYPERLINK("#'Event Index'!A"&amp;(MATCH($B37,'Event Index'!$A$5:$A$1000,0)+4),"↦"),"")</f>
        <v/>
      </c>
    </row>
    <row r="38">
      <c r="C38" s="15">
        <f>IFERROR(HYPERLINK("#'Event Index'!A"&amp;(MATCH($B38,'Event Index'!$A$5:$A$1000,0)+4),"↦"),"")</f>
        <v/>
      </c>
    </row>
    <row r="39">
      <c r="C39" s="15">
        <f>IFERROR(HYPERLINK("#'Event Index'!A"&amp;(MATCH($B39,'Event Index'!$A$5:$A$1000,0)+4),"↦"),"")</f>
        <v/>
      </c>
    </row>
    <row r="40">
      <c r="C40" s="15">
        <f>IFERROR(HYPERLINK("#'Event Index'!A"&amp;(MATCH($B40,'Event Index'!$A$5:$A$1000,0)+4),"↦"),"")</f>
        <v/>
      </c>
    </row>
    <row r="41">
      <c r="C41" s="15">
        <f>IFERROR(HYPERLINK("#'Event Index'!A"&amp;(MATCH($B41,'Event Index'!$A$5:$A$1000,0)+4),"↦"),"")</f>
        <v/>
      </c>
    </row>
    <row r="42">
      <c r="C42" s="15">
        <f>IFERROR(HYPERLINK("#'Event Index'!A"&amp;(MATCH($B42,'Event Index'!$A$5:$A$1000,0)+4),"↦"),"")</f>
        <v/>
      </c>
    </row>
    <row r="43">
      <c r="C43" s="15">
        <f>IFERROR(HYPERLINK("#'Event Index'!A"&amp;(MATCH($B43,'Event Index'!$A$5:$A$1000,0)+4),"↦"),"")</f>
        <v/>
      </c>
    </row>
    <row r="44">
      <c r="C44" s="15">
        <f>IFERROR(HYPERLINK("#'Event Index'!A"&amp;(MATCH($B44,'Event Index'!$A$5:$A$1000,0)+4),"↦"),"")</f>
        <v/>
      </c>
    </row>
    <row r="45">
      <c r="C45" s="15">
        <f>IFERROR(HYPERLINK("#'Event Index'!A"&amp;(MATCH($B45,'Event Index'!$A$5:$A$1000,0)+4),"↦"),"")</f>
        <v/>
      </c>
    </row>
    <row r="46">
      <c r="C46" s="15">
        <f>IFERROR(HYPERLINK("#'Event Index'!A"&amp;(MATCH($B46,'Event Index'!$A$5:$A$1000,0)+4),"↦"),"")</f>
        <v/>
      </c>
    </row>
    <row r="47">
      <c r="C47" s="15">
        <f>IFERROR(HYPERLINK("#'Event Index'!A"&amp;(MATCH($B47,'Event Index'!$A$5:$A$1000,0)+4),"↦"),"")</f>
        <v/>
      </c>
    </row>
    <row r="48">
      <c r="C48" s="15">
        <f>IFERROR(HYPERLINK("#'Event Index'!A"&amp;(MATCH($B48,'Event Index'!$A$5:$A$1000,0)+4),"↦"),"")</f>
        <v/>
      </c>
    </row>
    <row r="49">
      <c r="C49" s="15">
        <f>IFERROR(HYPERLINK("#'Event Index'!A"&amp;(MATCH($B49,'Event Index'!$A$5:$A$1000,0)+4),"↦"),"")</f>
        <v/>
      </c>
    </row>
    <row r="50">
      <c r="C50" s="15">
        <f>IFERROR(HYPERLINK("#'Event Index'!A"&amp;(MATCH($B50,'Event Index'!$A$5:$A$1000,0)+4),"↦"),"")</f>
        <v/>
      </c>
    </row>
    <row r="51">
      <c r="C51" s="15">
        <f>IFERROR(HYPERLINK("#'Event Index'!A"&amp;(MATCH($B51,'Event Index'!$A$5:$A$1000,0)+4),"↦"),"")</f>
        <v/>
      </c>
    </row>
    <row r="52">
      <c r="C52" s="15">
        <f>IFERROR(HYPERLINK("#'Event Index'!A"&amp;(MATCH($B52,'Event Index'!$A$5:$A$1000,0)+4),"↦"),"")</f>
        <v/>
      </c>
    </row>
    <row r="53">
      <c r="C53" s="15">
        <f>IFERROR(HYPERLINK("#'Event Index'!A"&amp;(MATCH($B53,'Event Index'!$A$5:$A$1000,0)+4),"↦"),"")</f>
        <v/>
      </c>
    </row>
    <row r="54">
      <c r="C54" s="15">
        <f>IFERROR(HYPERLINK("#'Event Index'!A"&amp;(MATCH($B54,'Event Index'!$A$5:$A$1000,0)+4),"↦"),"")</f>
        <v/>
      </c>
    </row>
    <row r="55">
      <c r="C55" s="15">
        <f>IFERROR(HYPERLINK("#'Event Index'!A"&amp;(MATCH($B55,'Event Index'!$A$5:$A$1000,0)+4),"↦"),"")</f>
        <v/>
      </c>
    </row>
    <row r="56">
      <c r="C56" s="15">
        <f>IFERROR(HYPERLINK("#'Event Index'!A"&amp;(MATCH($B56,'Event Index'!$A$5:$A$1000,0)+4),"↦"),"")</f>
        <v/>
      </c>
    </row>
    <row r="57">
      <c r="C57" s="15">
        <f>IFERROR(HYPERLINK("#'Event Index'!A"&amp;(MATCH($B57,'Event Index'!$A$5:$A$1000,0)+4),"↦"),"")</f>
        <v/>
      </c>
    </row>
    <row r="58">
      <c r="C58" s="15">
        <f>IFERROR(HYPERLINK("#'Event Index'!A"&amp;(MATCH($B58,'Event Index'!$A$5:$A$1000,0)+4),"↦"),"")</f>
        <v/>
      </c>
    </row>
    <row r="59">
      <c r="C59" s="15">
        <f>IFERROR(HYPERLINK("#'Event Index'!A"&amp;(MATCH($B59,'Event Index'!$A$5:$A$1000,0)+4),"↦"),"")</f>
        <v/>
      </c>
    </row>
    <row r="60">
      <c r="C60" s="15">
        <f>IFERROR(HYPERLINK("#'Event Index'!A"&amp;(MATCH($B60,'Event Index'!$A$5:$A$1000,0)+4),"↦"),"")</f>
        <v/>
      </c>
    </row>
    <row r="61">
      <c r="C61" s="15">
        <f>IFERROR(HYPERLINK("#'Event Index'!A"&amp;(MATCH($B61,'Event Index'!$A$5:$A$1000,0)+4),"↦"),"")</f>
        <v/>
      </c>
    </row>
    <row r="62">
      <c r="C62" s="15">
        <f>IFERROR(HYPERLINK("#'Event Index'!A"&amp;(MATCH($B62,'Event Index'!$A$5:$A$1000,0)+4),"↦"),"")</f>
        <v/>
      </c>
    </row>
    <row r="63">
      <c r="C63" s="15">
        <f>IFERROR(HYPERLINK("#'Event Index'!A"&amp;(MATCH($B63,'Event Index'!$A$5:$A$1000,0)+4),"↦"),"")</f>
        <v/>
      </c>
    </row>
    <row r="64">
      <c r="C64" s="15">
        <f>IFERROR(HYPERLINK("#'Event Index'!A"&amp;(MATCH($B64,'Event Index'!$A$5:$A$1000,0)+4),"↦"),"")</f>
        <v/>
      </c>
    </row>
    <row r="65">
      <c r="C65" s="15">
        <f>IFERROR(HYPERLINK("#'Event Index'!A"&amp;(MATCH($B65,'Event Index'!$A$5:$A$1000,0)+4),"↦"),"")</f>
        <v/>
      </c>
    </row>
    <row r="66">
      <c r="C66" s="15">
        <f>IFERROR(HYPERLINK("#'Event Index'!A"&amp;(MATCH($B66,'Event Index'!$A$5:$A$1000,0)+4),"↦"),"")</f>
        <v/>
      </c>
    </row>
    <row r="67">
      <c r="C67" s="15">
        <f>IFERROR(HYPERLINK("#'Event Index'!A"&amp;(MATCH($B67,'Event Index'!$A$5:$A$1000,0)+4),"↦"),"")</f>
        <v/>
      </c>
    </row>
    <row r="68">
      <c r="C68" s="15">
        <f>IFERROR(HYPERLINK("#'Event Index'!A"&amp;(MATCH($B68,'Event Index'!$A$5:$A$1000,0)+4),"↦"),"")</f>
        <v/>
      </c>
    </row>
    <row r="69">
      <c r="C69" s="15">
        <f>IFERROR(HYPERLINK("#'Event Index'!A"&amp;(MATCH($B69,'Event Index'!$A$5:$A$1000,0)+4),"↦"),"")</f>
        <v/>
      </c>
    </row>
    <row r="70">
      <c r="C70" s="15">
        <f>IFERROR(HYPERLINK("#'Event Index'!A"&amp;(MATCH($B70,'Event Index'!$A$5:$A$1000,0)+4),"↦"),"")</f>
        <v/>
      </c>
    </row>
    <row r="71">
      <c r="C71" s="15">
        <f>IFERROR(HYPERLINK("#'Event Index'!A"&amp;(MATCH($B71,'Event Index'!$A$5:$A$1000,0)+4),"↦"),"")</f>
        <v/>
      </c>
    </row>
    <row r="72">
      <c r="C72" s="15">
        <f>IFERROR(HYPERLINK("#'Event Index'!A"&amp;(MATCH($B72,'Event Index'!$A$5:$A$1000,0)+4),"↦"),"")</f>
        <v/>
      </c>
    </row>
    <row r="73">
      <c r="C73" s="15">
        <f>IFERROR(HYPERLINK("#'Event Index'!A"&amp;(MATCH($B73,'Event Index'!$A$5:$A$1000,0)+4),"↦"),"")</f>
        <v/>
      </c>
    </row>
    <row r="74">
      <c r="C74" s="15">
        <f>IFERROR(HYPERLINK("#'Event Index'!A"&amp;(MATCH($B74,'Event Index'!$A$5:$A$1000,0)+4),"↦"),"")</f>
        <v/>
      </c>
    </row>
    <row r="75">
      <c r="C75" s="15">
        <f>IFERROR(HYPERLINK("#'Event Index'!A"&amp;(MATCH($B75,'Event Index'!$A$5:$A$1000,0)+4),"↦"),"")</f>
        <v/>
      </c>
    </row>
    <row r="76">
      <c r="C76" s="15">
        <f>IFERROR(HYPERLINK("#'Event Index'!A"&amp;(MATCH($B76,'Event Index'!$A$5:$A$1000,0)+4),"↦"),"")</f>
        <v/>
      </c>
    </row>
    <row r="77">
      <c r="C77" s="15">
        <f>IFERROR(HYPERLINK("#'Event Index'!A"&amp;(MATCH($B77,'Event Index'!$A$5:$A$1000,0)+4),"↦"),"")</f>
        <v/>
      </c>
    </row>
    <row r="78">
      <c r="C78" s="15">
        <f>IFERROR(HYPERLINK("#'Event Index'!A"&amp;(MATCH($B78,'Event Index'!$A$5:$A$1000,0)+4),"↦"),"")</f>
        <v/>
      </c>
    </row>
    <row r="79">
      <c r="C79" s="15">
        <f>IFERROR(HYPERLINK("#'Event Index'!A"&amp;(MATCH($B79,'Event Index'!$A$5:$A$1000,0)+4),"↦"),"")</f>
        <v/>
      </c>
    </row>
    <row r="80">
      <c r="C80" s="15">
        <f>IFERROR(HYPERLINK("#'Event Index'!A"&amp;(MATCH($B80,'Event Index'!$A$5:$A$1000,0)+4),"↦"),"")</f>
        <v/>
      </c>
    </row>
    <row r="81">
      <c r="C81" s="15">
        <f>IFERROR(HYPERLINK("#'Event Index'!A"&amp;(MATCH($B81,'Event Index'!$A$5:$A$1000,0)+4),"↦"),"")</f>
        <v/>
      </c>
    </row>
    <row r="82">
      <c r="C82" s="15">
        <f>IFERROR(HYPERLINK("#'Event Index'!A"&amp;(MATCH($B82,'Event Index'!$A$5:$A$1000,0)+4),"↦"),"")</f>
        <v/>
      </c>
    </row>
    <row r="83">
      <c r="C83" s="15">
        <f>IFERROR(HYPERLINK("#'Event Index'!A"&amp;(MATCH($B83,'Event Index'!$A$5:$A$1000,0)+4),"↦"),"")</f>
        <v/>
      </c>
    </row>
    <row r="84">
      <c r="C84" s="15">
        <f>IFERROR(HYPERLINK("#'Event Index'!A"&amp;(MATCH($B84,'Event Index'!$A$5:$A$1000,0)+4),"↦"),"")</f>
        <v/>
      </c>
    </row>
    <row r="85">
      <c r="C85" s="15">
        <f>IFERROR(HYPERLINK("#'Event Index'!A"&amp;(MATCH($B85,'Event Index'!$A$5:$A$1000,0)+4),"↦"),"")</f>
        <v/>
      </c>
    </row>
    <row r="86">
      <c r="C86" s="15">
        <f>IFERROR(HYPERLINK("#'Event Index'!A"&amp;(MATCH($B86,'Event Index'!$A$5:$A$1000,0)+4),"↦"),"")</f>
        <v/>
      </c>
    </row>
    <row r="87">
      <c r="C87" s="15">
        <f>IFERROR(HYPERLINK("#'Event Index'!A"&amp;(MATCH($B87,'Event Index'!$A$5:$A$1000,0)+4),"↦"),"")</f>
        <v/>
      </c>
    </row>
    <row r="88">
      <c r="C88" s="15">
        <f>IFERROR(HYPERLINK("#'Event Index'!A"&amp;(MATCH($B88,'Event Index'!$A$5:$A$1000,0)+4),"↦"),"")</f>
        <v/>
      </c>
    </row>
    <row r="89">
      <c r="C89" s="15">
        <f>IFERROR(HYPERLINK("#'Event Index'!A"&amp;(MATCH($B89,'Event Index'!$A$5:$A$1000,0)+4),"↦"),"")</f>
        <v/>
      </c>
    </row>
    <row r="90">
      <c r="C90" s="15">
        <f>IFERROR(HYPERLINK("#'Event Index'!A"&amp;(MATCH($B90,'Event Index'!$A$5:$A$1000,0)+4),"↦"),"")</f>
        <v/>
      </c>
    </row>
    <row r="91">
      <c r="C91" s="15">
        <f>IFERROR(HYPERLINK("#'Event Index'!A"&amp;(MATCH($B91,'Event Index'!$A$5:$A$1000,0)+4),"↦"),"")</f>
        <v/>
      </c>
    </row>
    <row r="92">
      <c r="C92" s="15">
        <f>IFERROR(HYPERLINK("#'Event Index'!A"&amp;(MATCH($B92,'Event Index'!$A$5:$A$1000,0)+4),"↦"),"")</f>
        <v/>
      </c>
    </row>
    <row r="93">
      <c r="C93" s="15">
        <f>IFERROR(HYPERLINK("#'Event Index'!A"&amp;(MATCH($B93,'Event Index'!$A$5:$A$1000,0)+4),"↦"),"")</f>
        <v/>
      </c>
    </row>
    <row r="94">
      <c r="C94" s="15">
        <f>IFERROR(HYPERLINK("#'Event Index'!A"&amp;(MATCH($B94,'Event Index'!$A$5:$A$1000,0)+4),"↦"),"")</f>
        <v/>
      </c>
    </row>
    <row r="95">
      <c r="C95" s="15">
        <f>IFERROR(HYPERLINK("#'Event Index'!A"&amp;(MATCH($B95,'Event Index'!$A$5:$A$1000,0)+4),"↦"),"")</f>
        <v/>
      </c>
    </row>
    <row r="96">
      <c r="C96" s="15">
        <f>IFERROR(HYPERLINK("#'Event Index'!A"&amp;(MATCH($B96,'Event Index'!$A$5:$A$1000,0)+4),"↦"),"")</f>
        <v/>
      </c>
    </row>
    <row r="97">
      <c r="C97" s="15">
        <f>IFERROR(HYPERLINK("#'Event Index'!A"&amp;(MATCH($B97,'Event Index'!$A$5:$A$1000,0)+4),"↦"),"")</f>
        <v/>
      </c>
    </row>
    <row r="98">
      <c r="C98" s="15">
        <f>IFERROR(HYPERLINK("#'Event Index'!A"&amp;(MATCH($B98,'Event Index'!$A$5:$A$1000,0)+4),"↦"),"")</f>
        <v/>
      </c>
    </row>
    <row r="99">
      <c r="C99" s="15">
        <f>IFERROR(HYPERLINK("#'Event Index'!A"&amp;(MATCH($B99,'Event Index'!$A$5:$A$1000,0)+4),"↦"),"")</f>
        <v/>
      </c>
    </row>
    <row r="100">
      <c r="C100" s="15">
        <f>IFERROR(HYPERLINK("#'Event Index'!A"&amp;(MATCH($B100,'Event Index'!$A$5:$A$1000,0)+4),"↦"),"")</f>
        <v/>
      </c>
    </row>
    <row r="101">
      <c r="C101" s="15">
        <f>IFERROR(HYPERLINK("#'Event Index'!A"&amp;(MATCH($B101,'Event Index'!$A$5:$A$1000,0)+4),"↦"),"")</f>
        <v/>
      </c>
    </row>
    <row r="102">
      <c r="C102" s="15">
        <f>IFERROR(HYPERLINK("#'Event Index'!A"&amp;(MATCH($B102,'Event Index'!$A$5:$A$1000,0)+4),"↦"),"")</f>
        <v/>
      </c>
    </row>
    <row r="103">
      <c r="C103" s="15">
        <f>IFERROR(HYPERLINK("#'Event Index'!A"&amp;(MATCH($B103,'Event Index'!$A$5:$A$1000,0)+4),"↦"),"")</f>
        <v/>
      </c>
    </row>
    <row r="104">
      <c r="C104" s="15">
        <f>IFERROR(HYPERLINK("#'Event Index'!A"&amp;(MATCH($B104,'Event Index'!$A$5:$A$1000,0)+4),"↦"),"")</f>
        <v/>
      </c>
    </row>
    <row r="105">
      <c r="C105" s="15">
        <f>IFERROR(HYPERLINK("#'Event Index'!A"&amp;(MATCH($B105,'Event Index'!$A$5:$A$1000,0)+4),"↦"),"")</f>
        <v/>
      </c>
    </row>
    <row r="106">
      <c r="C106" s="15">
        <f>IFERROR(HYPERLINK("#'Event Index'!A"&amp;(MATCH($B106,'Event Index'!$A$5:$A$1000,0)+4),"↦"),"")</f>
        <v/>
      </c>
    </row>
    <row r="107">
      <c r="C107" s="15">
        <f>IFERROR(HYPERLINK("#'Event Index'!A"&amp;(MATCH($B107,'Event Index'!$A$5:$A$1000,0)+4),"↦"),"")</f>
        <v/>
      </c>
    </row>
    <row r="108">
      <c r="C108" s="15">
        <f>IFERROR(HYPERLINK("#'Event Index'!A"&amp;(MATCH($B108,'Event Index'!$A$5:$A$1000,0)+4),"↦"),"")</f>
        <v/>
      </c>
    </row>
    <row r="109">
      <c r="C109" s="15">
        <f>IFERROR(HYPERLINK("#'Event Index'!A"&amp;(MATCH($B109,'Event Index'!$A$5:$A$1000,0)+4),"↦"),"")</f>
        <v/>
      </c>
    </row>
    <row r="110">
      <c r="C110" s="15">
        <f>IFERROR(HYPERLINK("#'Event Index'!A"&amp;(MATCH($B110,'Event Index'!$A$5:$A$1000,0)+4),"↦"),"")</f>
        <v/>
      </c>
    </row>
    <row r="111">
      <c r="C111" s="15">
        <f>IFERROR(HYPERLINK("#'Event Index'!A"&amp;(MATCH($B111,'Event Index'!$A$5:$A$1000,0)+4),"↦"),"")</f>
        <v/>
      </c>
    </row>
    <row r="112">
      <c r="C112" s="15">
        <f>IFERROR(HYPERLINK("#'Event Index'!A"&amp;(MATCH($B112,'Event Index'!$A$5:$A$1000,0)+4),"↦"),"")</f>
        <v/>
      </c>
    </row>
    <row r="113">
      <c r="C113" s="15">
        <f>IFERROR(HYPERLINK("#'Event Index'!A"&amp;(MATCH($B113,'Event Index'!$A$5:$A$1000,0)+4),"↦"),"")</f>
        <v/>
      </c>
    </row>
    <row r="114">
      <c r="C114" s="15">
        <f>IFERROR(HYPERLINK("#'Event Index'!A"&amp;(MATCH($B114,'Event Index'!$A$5:$A$1000,0)+4),"↦"),"")</f>
        <v/>
      </c>
    </row>
    <row r="115">
      <c r="C115" s="15">
        <f>IFERROR(HYPERLINK("#'Event Index'!A"&amp;(MATCH($B115,'Event Index'!$A$5:$A$1000,0)+4),"↦"),"")</f>
        <v/>
      </c>
    </row>
    <row r="116">
      <c r="C116" s="15">
        <f>IFERROR(HYPERLINK("#'Event Index'!A"&amp;(MATCH($B116,'Event Index'!$A$5:$A$1000,0)+4),"↦"),"")</f>
        <v/>
      </c>
    </row>
    <row r="117">
      <c r="C117" s="15">
        <f>IFERROR(HYPERLINK("#'Event Index'!A"&amp;(MATCH($B117,'Event Index'!$A$5:$A$1000,0)+4),"↦"),"")</f>
        <v/>
      </c>
    </row>
    <row r="118">
      <c r="C118" s="15">
        <f>IFERROR(HYPERLINK("#'Event Index'!A"&amp;(MATCH($B118,'Event Index'!$A$5:$A$1000,0)+4),"↦"),"")</f>
        <v/>
      </c>
    </row>
    <row r="119">
      <c r="C119" s="15">
        <f>IFERROR(HYPERLINK("#'Event Index'!A"&amp;(MATCH($B119,'Event Index'!$A$5:$A$1000,0)+4),"↦"),"")</f>
        <v/>
      </c>
    </row>
    <row r="120">
      <c r="C120" s="15">
        <f>IFERROR(HYPERLINK("#'Event Index'!A"&amp;(MATCH($B120,'Event Index'!$A$5:$A$1000,0)+4),"↦"),"")</f>
        <v/>
      </c>
    </row>
  </sheetData>
  <mergeCells count="2">
    <mergeCell ref="A1:J1"/>
    <mergeCell ref="A2:J2"/>
  </mergeCells>
  <dataValidations count="2">
    <dataValidation sqref="H5:H1000" showDropDown="0" showInputMessage="0" showErrorMessage="0" allowBlank="1" type="list">
      <formula1>"Yes,No,N/A"</formula1>
    </dataValidation>
    <dataValidation sqref="I5:I1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4EDE6"/>
    <outlinePr summaryBelow="1" summaryRight="1"/>
    <pageSetUpPr/>
  </sheetPr>
  <dimension ref="A1:I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14" customWidth="1" min="4" max="4"/>
    <col width="22" customWidth="1" min="5" max="5"/>
    <col width="24" customWidth="1" min="6" max="6"/>
    <col width="26" customWidth="1" min="7" max="7"/>
    <col width="14" customWidth="1" min="8" max="8"/>
    <col width="30" customWidth="1" min="9" max="9"/>
  </cols>
  <sheetData>
    <row r="1" ht="24" customHeight="1">
      <c r="A1" s="1" t="inlineStr">
        <is>
          <t>Court Ready™ · School</t>
        </is>
      </c>
    </row>
    <row r="2">
      <c r="A2" s="3" t="inlineStr">
        <is>
          <t>Conferences, report cards, attendance, teacher and counselor contacts.</t>
        </is>
      </c>
    </row>
    <row r="3">
      <c r="A3" s="21" t="inlineStr">
        <is>
          <t>SAMPLE DATA — a lived-in example for reference. Your real workbook starts empty; delete these rows to begin.</t>
        </is>
      </c>
    </row>
    <row r="4">
      <c r="A4" s="12" t="inlineStr">
        <is>
          <t>Date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Child</t>
        </is>
      </c>
      <c r="E4" s="12" t="inlineStr">
        <is>
          <t>School / Contact</t>
        </is>
      </c>
      <c r="F4" s="12" t="inlineStr">
        <is>
          <t>Topic</t>
        </is>
      </c>
      <c r="G4" s="12" t="inlineStr">
        <is>
          <t>Outcome</t>
        </is>
      </c>
      <c r="H4" s="12" t="inlineStr">
        <is>
          <t>Parent B Notified</t>
        </is>
      </c>
      <c r="I4" s="12" t="inlineStr">
        <is>
          <t>Notes — facts only</t>
        </is>
      </c>
    </row>
    <row r="5">
      <c r="A5" s="22" t="inlineStr">
        <is>
          <t>2026-08-05</t>
        </is>
      </c>
      <c r="B5" s="22" t="inlineStr">
        <is>
          <t>EVT-0006</t>
        </is>
      </c>
      <c r="C5" s="14">
        <f>IFERROR(HYPERLINK("#'Event Index'!A"&amp;(MATCH($B5,'Event Index'!$A$5:$A$1000,0)+4),"↦"),"")</f>
        <v/>
      </c>
      <c r="D5" s="22" t="inlineStr">
        <is>
          <t>Emma</t>
        </is>
      </c>
      <c r="E5" s="22" t="inlineStr">
        <is>
          <t>Lincoln Elementary — Ms. Rivera</t>
        </is>
      </c>
      <c r="F5" s="22" t="inlineStr">
        <is>
          <t>Parent-teacher conference</t>
        </is>
      </c>
      <c r="G5" s="22" t="inlineStr">
        <is>
          <t>Reading above grade level</t>
        </is>
      </c>
      <c r="H5" s="22" t="inlineStr">
        <is>
          <t>Yes</t>
        </is>
      </c>
      <c r="I5" s="22" t="inlineStr">
        <is>
          <t>Both parents invited; Parent A attended</t>
        </is>
      </c>
    </row>
    <row r="6">
      <c r="C6" s="15">
        <f>IFERROR(HYPERLINK("#'Event Index'!A"&amp;(MATCH($B6,'Event Index'!$A$5:$A$1000,0)+4),"↦"),"")</f>
        <v/>
      </c>
    </row>
    <row r="7">
      <c r="C7" s="15">
        <f>IFERROR(HYPERLINK("#'Event Index'!A"&amp;(MATCH($B7,'Event Index'!$A$5:$A$1000,0)+4),"↦"),"")</f>
        <v/>
      </c>
    </row>
    <row r="8">
      <c r="C8" s="15">
        <f>IFERROR(HYPERLINK("#'Event Index'!A"&amp;(MATCH($B8,'Event Index'!$A$5:$A$1000,0)+4),"↦"),"")</f>
        <v/>
      </c>
    </row>
    <row r="9">
      <c r="C9" s="15">
        <f>IFERROR(HYPERLINK("#'Event Index'!A"&amp;(MATCH($B9,'Event Index'!$A$5:$A$1000,0)+4),"↦"),"")</f>
        <v/>
      </c>
    </row>
    <row r="10">
      <c r="C10" s="15">
        <f>IFERROR(HYPERLINK("#'Event Index'!A"&amp;(MATCH($B10,'Event Index'!$A$5:$A$1000,0)+4),"↦"),"")</f>
        <v/>
      </c>
    </row>
    <row r="11">
      <c r="C11" s="15">
        <f>IFERROR(HYPERLINK("#'Event Index'!A"&amp;(MATCH($B11,'Event Index'!$A$5:$A$1000,0)+4),"↦"),"")</f>
        <v/>
      </c>
    </row>
    <row r="12">
      <c r="C12" s="15">
        <f>IFERROR(HYPERLINK("#'Event Index'!A"&amp;(MATCH($B12,'Event Index'!$A$5:$A$1000,0)+4),"↦"),"")</f>
        <v/>
      </c>
    </row>
    <row r="13">
      <c r="C13" s="15">
        <f>IFERROR(HYPERLINK("#'Event Index'!A"&amp;(MATCH($B13,'Event Index'!$A$5:$A$1000,0)+4),"↦"),"")</f>
        <v/>
      </c>
    </row>
    <row r="14">
      <c r="C14" s="15">
        <f>IFERROR(HYPERLINK("#'Event Index'!A"&amp;(MATCH($B14,'Event Index'!$A$5:$A$1000,0)+4),"↦"),"")</f>
        <v/>
      </c>
    </row>
    <row r="15">
      <c r="C15" s="15">
        <f>IFERROR(HYPERLINK("#'Event Index'!A"&amp;(MATCH($B15,'Event Index'!$A$5:$A$1000,0)+4),"↦"),"")</f>
        <v/>
      </c>
    </row>
    <row r="16">
      <c r="C16" s="15">
        <f>IFERROR(HYPERLINK("#'Event Index'!A"&amp;(MATCH($B16,'Event Index'!$A$5:$A$1000,0)+4),"↦"),"")</f>
        <v/>
      </c>
    </row>
    <row r="17">
      <c r="C17" s="15">
        <f>IFERROR(HYPERLINK("#'Event Index'!A"&amp;(MATCH($B17,'Event Index'!$A$5:$A$1000,0)+4),"↦"),"")</f>
        <v/>
      </c>
    </row>
    <row r="18">
      <c r="C18" s="15">
        <f>IFERROR(HYPERLINK("#'Event Index'!A"&amp;(MATCH($B18,'Event Index'!$A$5:$A$1000,0)+4),"↦"),"")</f>
        <v/>
      </c>
    </row>
    <row r="19">
      <c r="C19" s="15">
        <f>IFERROR(HYPERLINK("#'Event Index'!A"&amp;(MATCH($B19,'Event Index'!$A$5:$A$1000,0)+4),"↦"),"")</f>
        <v/>
      </c>
    </row>
    <row r="20">
      <c r="C20" s="15">
        <f>IFERROR(HYPERLINK("#'Event Index'!A"&amp;(MATCH($B20,'Event Index'!$A$5:$A$1000,0)+4),"↦"),"")</f>
        <v/>
      </c>
    </row>
    <row r="21">
      <c r="C21" s="15">
        <f>IFERROR(HYPERLINK("#'Event Index'!A"&amp;(MATCH($B21,'Event Index'!$A$5:$A$1000,0)+4),"↦"),"")</f>
        <v/>
      </c>
    </row>
    <row r="22">
      <c r="C22" s="15">
        <f>IFERROR(HYPERLINK("#'Event Index'!A"&amp;(MATCH($B22,'Event Index'!$A$5:$A$1000,0)+4),"↦"),"")</f>
        <v/>
      </c>
    </row>
    <row r="23">
      <c r="C23" s="15">
        <f>IFERROR(HYPERLINK("#'Event Index'!A"&amp;(MATCH($B23,'Event Index'!$A$5:$A$1000,0)+4),"↦"),"")</f>
        <v/>
      </c>
    </row>
    <row r="24">
      <c r="C24" s="15">
        <f>IFERROR(HYPERLINK("#'Event Index'!A"&amp;(MATCH($B24,'Event Index'!$A$5:$A$1000,0)+4),"↦"),"")</f>
        <v/>
      </c>
    </row>
    <row r="25">
      <c r="C25" s="15">
        <f>IFERROR(HYPERLINK("#'Event Index'!A"&amp;(MATCH($B25,'Event Index'!$A$5:$A$1000,0)+4),"↦"),"")</f>
        <v/>
      </c>
    </row>
    <row r="26">
      <c r="C26" s="15">
        <f>IFERROR(HYPERLINK("#'Event Index'!A"&amp;(MATCH($B26,'Event Index'!$A$5:$A$1000,0)+4),"↦"),"")</f>
        <v/>
      </c>
    </row>
    <row r="27">
      <c r="C27" s="15">
        <f>IFERROR(HYPERLINK("#'Event Index'!A"&amp;(MATCH($B27,'Event Index'!$A$5:$A$1000,0)+4),"↦"),"")</f>
        <v/>
      </c>
    </row>
    <row r="28">
      <c r="C28" s="15">
        <f>IFERROR(HYPERLINK("#'Event Index'!A"&amp;(MATCH($B28,'Event Index'!$A$5:$A$1000,0)+4),"↦"),"")</f>
        <v/>
      </c>
    </row>
    <row r="29">
      <c r="C29" s="15">
        <f>IFERROR(HYPERLINK("#'Event Index'!A"&amp;(MATCH($B29,'Event Index'!$A$5:$A$1000,0)+4),"↦"),"")</f>
        <v/>
      </c>
    </row>
    <row r="30">
      <c r="C30" s="15">
        <f>IFERROR(HYPERLINK("#'Event Index'!A"&amp;(MATCH($B30,'Event Index'!$A$5:$A$1000,0)+4),"↦"),"")</f>
        <v/>
      </c>
    </row>
    <row r="31">
      <c r="C31" s="15">
        <f>IFERROR(HYPERLINK("#'Event Index'!A"&amp;(MATCH($B31,'Event Index'!$A$5:$A$1000,0)+4),"↦"),"")</f>
        <v/>
      </c>
    </row>
    <row r="32">
      <c r="C32" s="15">
        <f>IFERROR(HYPERLINK("#'Event Index'!A"&amp;(MATCH($B32,'Event Index'!$A$5:$A$1000,0)+4),"↦"),"")</f>
        <v/>
      </c>
    </row>
    <row r="33">
      <c r="C33" s="15">
        <f>IFERROR(HYPERLINK("#'Event Index'!A"&amp;(MATCH($B33,'Event Index'!$A$5:$A$1000,0)+4),"↦"),"")</f>
        <v/>
      </c>
    </row>
    <row r="34">
      <c r="C34" s="15">
        <f>IFERROR(HYPERLINK("#'Event Index'!A"&amp;(MATCH($B34,'Event Index'!$A$5:$A$1000,0)+4),"↦"),"")</f>
        <v/>
      </c>
    </row>
    <row r="35">
      <c r="C35" s="15">
        <f>IFERROR(HYPERLINK("#'Event Index'!A"&amp;(MATCH($B35,'Event Index'!$A$5:$A$1000,0)+4),"↦"),"")</f>
        <v/>
      </c>
    </row>
    <row r="36">
      <c r="C36" s="15">
        <f>IFERROR(HYPERLINK("#'Event Index'!A"&amp;(MATCH($B36,'Event Index'!$A$5:$A$1000,0)+4),"↦"),"")</f>
        <v/>
      </c>
    </row>
    <row r="37">
      <c r="C37" s="15">
        <f>IFERROR(HYPERLINK("#'Event Index'!A"&amp;(MATCH($B37,'Event Index'!$A$5:$A$1000,0)+4),"↦"),"")</f>
        <v/>
      </c>
    </row>
    <row r="38">
      <c r="C38" s="15">
        <f>IFERROR(HYPERLINK("#'Event Index'!A"&amp;(MATCH($B38,'Event Index'!$A$5:$A$1000,0)+4),"↦"),"")</f>
        <v/>
      </c>
    </row>
    <row r="39">
      <c r="C39" s="15">
        <f>IFERROR(HYPERLINK("#'Event Index'!A"&amp;(MATCH($B39,'Event Index'!$A$5:$A$1000,0)+4),"↦"),"")</f>
        <v/>
      </c>
    </row>
    <row r="40">
      <c r="C40" s="15">
        <f>IFERROR(HYPERLINK("#'Event Index'!A"&amp;(MATCH($B40,'Event Index'!$A$5:$A$1000,0)+4),"↦"),"")</f>
        <v/>
      </c>
    </row>
    <row r="41">
      <c r="C41" s="15">
        <f>IFERROR(HYPERLINK("#'Event Index'!A"&amp;(MATCH($B41,'Event Index'!$A$5:$A$1000,0)+4),"↦"),"")</f>
        <v/>
      </c>
    </row>
    <row r="42">
      <c r="C42" s="15">
        <f>IFERROR(HYPERLINK("#'Event Index'!A"&amp;(MATCH($B42,'Event Index'!$A$5:$A$1000,0)+4),"↦"),"")</f>
        <v/>
      </c>
    </row>
    <row r="43">
      <c r="C43" s="15">
        <f>IFERROR(HYPERLINK("#'Event Index'!A"&amp;(MATCH($B43,'Event Index'!$A$5:$A$1000,0)+4),"↦"),"")</f>
        <v/>
      </c>
    </row>
    <row r="44">
      <c r="C44" s="15">
        <f>IFERROR(HYPERLINK("#'Event Index'!A"&amp;(MATCH($B44,'Event Index'!$A$5:$A$1000,0)+4),"↦"),"")</f>
        <v/>
      </c>
    </row>
    <row r="45">
      <c r="C45" s="15">
        <f>IFERROR(HYPERLINK("#'Event Index'!A"&amp;(MATCH($B45,'Event Index'!$A$5:$A$1000,0)+4),"↦"),"")</f>
        <v/>
      </c>
    </row>
    <row r="46">
      <c r="C46" s="15">
        <f>IFERROR(HYPERLINK("#'Event Index'!A"&amp;(MATCH($B46,'Event Index'!$A$5:$A$1000,0)+4),"↦"),"")</f>
        <v/>
      </c>
    </row>
    <row r="47">
      <c r="C47" s="15">
        <f>IFERROR(HYPERLINK("#'Event Index'!A"&amp;(MATCH($B47,'Event Index'!$A$5:$A$1000,0)+4),"↦"),"")</f>
        <v/>
      </c>
    </row>
    <row r="48">
      <c r="C48" s="15">
        <f>IFERROR(HYPERLINK("#'Event Index'!A"&amp;(MATCH($B48,'Event Index'!$A$5:$A$1000,0)+4),"↦"),"")</f>
        <v/>
      </c>
    </row>
    <row r="49">
      <c r="C49" s="15">
        <f>IFERROR(HYPERLINK("#'Event Index'!A"&amp;(MATCH($B49,'Event Index'!$A$5:$A$1000,0)+4),"↦"),"")</f>
        <v/>
      </c>
    </row>
    <row r="50">
      <c r="C50" s="15">
        <f>IFERROR(HYPERLINK("#'Event Index'!A"&amp;(MATCH($B50,'Event Index'!$A$5:$A$1000,0)+4),"↦"),"")</f>
        <v/>
      </c>
    </row>
    <row r="51">
      <c r="C51" s="15">
        <f>IFERROR(HYPERLINK("#'Event Index'!A"&amp;(MATCH($B51,'Event Index'!$A$5:$A$1000,0)+4),"↦"),"")</f>
        <v/>
      </c>
    </row>
    <row r="52">
      <c r="C52" s="15">
        <f>IFERROR(HYPERLINK("#'Event Index'!A"&amp;(MATCH($B52,'Event Index'!$A$5:$A$1000,0)+4),"↦"),"")</f>
        <v/>
      </c>
    </row>
    <row r="53">
      <c r="C53" s="15">
        <f>IFERROR(HYPERLINK("#'Event Index'!A"&amp;(MATCH($B53,'Event Index'!$A$5:$A$1000,0)+4),"↦"),"")</f>
        <v/>
      </c>
    </row>
    <row r="54">
      <c r="C54" s="15">
        <f>IFERROR(HYPERLINK("#'Event Index'!A"&amp;(MATCH($B54,'Event Index'!$A$5:$A$1000,0)+4),"↦"),"")</f>
        <v/>
      </c>
    </row>
    <row r="55">
      <c r="C55" s="15">
        <f>IFERROR(HYPERLINK("#'Event Index'!A"&amp;(MATCH($B55,'Event Index'!$A$5:$A$1000,0)+4),"↦"),"")</f>
        <v/>
      </c>
    </row>
    <row r="56">
      <c r="C56" s="15">
        <f>IFERROR(HYPERLINK("#'Event Index'!A"&amp;(MATCH($B56,'Event Index'!$A$5:$A$1000,0)+4),"↦"),"")</f>
        <v/>
      </c>
    </row>
    <row r="57">
      <c r="C57" s="15">
        <f>IFERROR(HYPERLINK("#'Event Index'!A"&amp;(MATCH($B57,'Event Index'!$A$5:$A$1000,0)+4),"↦"),"")</f>
        <v/>
      </c>
    </row>
    <row r="58">
      <c r="C58" s="15">
        <f>IFERROR(HYPERLINK("#'Event Index'!A"&amp;(MATCH($B58,'Event Index'!$A$5:$A$1000,0)+4),"↦"),"")</f>
        <v/>
      </c>
    </row>
    <row r="59">
      <c r="C59" s="15">
        <f>IFERROR(HYPERLINK("#'Event Index'!A"&amp;(MATCH($B59,'Event Index'!$A$5:$A$1000,0)+4),"↦"),"")</f>
        <v/>
      </c>
    </row>
    <row r="60">
      <c r="C60" s="15">
        <f>IFERROR(HYPERLINK("#'Event Index'!A"&amp;(MATCH($B60,'Event Index'!$A$5:$A$1000,0)+4),"↦"),"")</f>
        <v/>
      </c>
    </row>
    <row r="61">
      <c r="C61" s="15">
        <f>IFERROR(HYPERLINK("#'Event Index'!A"&amp;(MATCH($B61,'Event Index'!$A$5:$A$1000,0)+4),"↦"),"")</f>
        <v/>
      </c>
    </row>
    <row r="62">
      <c r="C62" s="15">
        <f>IFERROR(HYPERLINK("#'Event Index'!A"&amp;(MATCH($B62,'Event Index'!$A$5:$A$1000,0)+4),"↦"),"")</f>
        <v/>
      </c>
    </row>
    <row r="63">
      <c r="C63" s="15">
        <f>IFERROR(HYPERLINK("#'Event Index'!A"&amp;(MATCH($B63,'Event Index'!$A$5:$A$1000,0)+4),"↦"),"")</f>
        <v/>
      </c>
    </row>
    <row r="64">
      <c r="C64" s="15">
        <f>IFERROR(HYPERLINK("#'Event Index'!A"&amp;(MATCH($B64,'Event Index'!$A$5:$A$1000,0)+4),"↦"),"")</f>
        <v/>
      </c>
    </row>
    <row r="65">
      <c r="C65" s="15">
        <f>IFERROR(HYPERLINK("#'Event Index'!A"&amp;(MATCH($B65,'Event Index'!$A$5:$A$1000,0)+4),"↦"),"")</f>
        <v/>
      </c>
    </row>
    <row r="66">
      <c r="C66" s="15">
        <f>IFERROR(HYPERLINK("#'Event Index'!A"&amp;(MATCH($B66,'Event Index'!$A$5:$A$1000,0)+4),"↦"),"")</f>
        <v/>
      </c>
    </row>
    <row r="67">
      <c r="C67" s="15">
        <f>IFERROR(HYPERLINK("#'Event Index'!A"&amp;(MATCH($B67,'Event Index'!$A$5:$A$1000,0)+4),"↦"),"")</f>
        <v/>
      </c>
    </row>
    <row r="68">
      <c r="C68" s="15">
        <f>IFERROR(HYPERLINK("#'Event Index'!A"&amp;(MATCH($B68,'Event Index'!$A$5:$A$1000,0)+4),"↦"),"")</f>
        <v/>
      </c>
    </row>
    <row r="69">
      <c r="C69" s="15">
        <f>IFERROR(HYPERLINK("#'Event Index'!A"&amp;(MATCH($B69,'Event Index'!$A$5:$A$1000,0)+4),"↦"),"")</f>
        <v/>
      </c>
    </row>
    <row r="70">
      <c r="C70" s="15">
        <f>IFERROR(HYPERLINK("#'Event Index'!A"&amp;(MATCH($B70,'Event Index'!$A$5:$A$1000,0)+4),"↦"),"")</f>
        <v/>
      </c>
    </row>
    <row r="71">
      <c r="C71" s="15">
        <f>IFERROR(HYPERLINK("#'Event Index'!A"&amp;(MATCH($B71,'Event Index'!$A$5:$A$1000,0)+4),"↦"),"")</f>
        <v/>
      </c>
    </row>
    <row r="72">
      <c r="C72" s="15">
        <f>IFERROR(HYPERLINK("#'Event Index'!A"&amp;(MATCH($B72,'Event Index'!$A$5:$A$1000,0)+4),"↦"),"")</f>
        <v/>
      </c>
    </row>
    <row r="73">
      <c r="C73" s="15">
        <f>IFERROR(HYPERLINK("#'Event Index'!A"&amp;(MATCH($B73,'Event Index'!$A$5:$A$1000,0)+4),"↦"),"")</f>
        <v/>
      </c>
    </row>
    <row r="74">
      <c r="C74" s="15">
        <f>IFERROR(HYPERLINK("#'Event Index'!A"&amp;(MATCH($B74,'Event Index'!$A$5:$A$1000,0)+4),"↦"),"")</f>
        <v/>
      </c>
    </row>
    <row r="75">
      <c r="C75" s="15">
        <f>IFERROR(HYPERLINK("#'Event Index'!A"&amp;(MATCH($B75,'Event Index'!$A$5:$A$1000,0)+4),"↦"),"")</f>
        <v/>
      </c>
    </row>
    <row r="76">
      <c r="C76" s="15">
        <f>IFERROR(HYPERLINK("#'Event Index'!A"&amp;(MATCH($B76,'Event Index'!$A$5:$A$1000,0)+4),"↦"),"")</f>
        <v/>
      </c>
    </row>
    <row r="77">
      <c r="C77" s="15">
        <f>IFERROR(HYPERLINK("#'Event Index'!A"&amp;(MATCH($B77,'Event Index'!$A$5:$A$1000,0)+4),"↦"),"")</f>
        <v/>
      </c>
    </row>
    <row r="78">
      <c r="C78" s="15">
        <f>IFERROR(HYPERLINK("#'Event Index'!A"&amp;(MATCH($B78,'Event Index'!$A$5:$A$1000,0)+4),"↦"),"")</f>
        <v/>
      </c>
    </row>
    <row r="79">
      <c r="C79" s="15">
        <f>IFERROR(HYPERLINK("#'Event Index'!A"&amp;(MATCH($B79,'Event Index'!$A$5:$A$1000,0)+4),"↦"),"")</f>
        <v/>
      </c>
    </row>
    <row r="80">
      <c r="C80" s="15">
        <f>IFERROR(HYPERLINK("#'Event Index'!A"&amp;(MATCH($B80,'Event Index'!$A$5:$A$1000,0)+4),"↦"),"")</f>
        <v/>
      </c>
    </row>
    <row r="81">
      <c r="C81" s="15">
        <f>IFERROR(HYPERLINK("#'Event Index'!A"&amp;(MATCH($B81,'Event Index'!$A$5:$A$1000,0)+4),"↦"),"")</f>
        <v/>
      </c>
    </row>
    <row r="82">
      <c r="C82" s="15">
        <f>IFERROR(HYPERLINK("#'Event Index'!A"&amp;(MATCH($B82,'Event Index'!$A$5:$A$1000,0)+4),"↦"),"")</f>
        <v/>
      </c>
    </row>
    <row r="83">
      <c r="C83" s="15">
        <f>IFERROR(HYPERLINK("#'Event Index'!A"&amp;(MATCH($B83,'Event Index'!$A$5:$A$1000,0)+4),"↦"),"")</f>
        <v/>
      </c>
    </row>
    <row r="84">
      <c r="C84" s="15">
        <f>IFERROR(HYPERLINK("#'Event Index'!A"&amp;(MATCH($B84,'Event Index'!$A$5:$A$1000,0)+4),"↦"),"")</f>
        <v/>
      </c>
    </row>
    <row r="85">
      <c r="C85" s="15">
        <f>IFERROR(HYPERLINK("#'Event Index'!A"&amp;(MATCH($B85,'Event Index'!$A$5:$A$1000,0)+4),"↦"),"")</f>
        <v/>
      </c>
    </row>
    <row r="86">
      <c r="C86" s="15">
        <f>IFERROR(HYPERLINK("#'Event Index'!A"&amp;(MATCH($B86,'Event Index'!$A$5:$A$1000,0)+4),"↦"),"")</f>
        <v/>
      </c>
    </row>
    <row r="87">
      <c r="C87" s="15">
        <f>IFERROR(HYPERLINK("#'Event Index'!A"&amp;(MATCH($B87,'Event Index'!$A$5:$A$1000,0)+4),"↦"),"")</f>
        <v/>
      </c>
    </row>
    <row r="88">
      <c r="C88" s="15">
        <f>IFERROR(HYPERLINK("#'Event Index'!A"&amp;(MATCH($B88,'Event Index'!$A$5:$A$1000,0)+4),"↦"),"")</f>
        <v/>
      </c>
    </row>
    <row r="89">
      <c r="C89" s="15">
        <f>IFERROR(HYPERLINK("#'Event Index'!A"&amp;(MATCH($B89,'Event Index'!$A$5:$A$1000,0)+4),"↦"),"")</f>
        <v/>
      </c>
    </row>
    <row r="90">
      <c r="C90" s="15">
        <f>IFERROR(HYPERLINK("#'Event Index'!A"&amp;(MATCH($B90,'Event Index'!$A$5:$A$1000,0)+4),"↦"),"")</f>
        <v/>
      </c>
    </row>
    <row r="91">
      <c r="C91" s="15">
        <f>IFERROR(HYPERLINK("#'Event Index'!A"&amp;(MATCH($B91,'Event Index'!$A$5:$A$1000,0)+4),"↦"),"")</f>
        <v/>
      </c>
    </row>
    <row r="92">
      <c r="C92" s="15">
        <f>IFERROR(HYPERLINK("#'Event Index'!A"&amp;(MATCH($B92,'Event Index'!$A$5:$A$1000,0)+4),"↦"),"")</f>
        <v/>
      </c>
    </row>
    <row r="93">
      <c r="C93" s="15">
        <f>IFERROR(HYPERLINK("#'Event Index'!A"&amp;(MATCH($B93,'Event Index'!$A$5:$A$1000,0)+4),"↦"),"")</f>
        <v/>
      </c>
    </row>
    <row r="94">
      <c r="C94" s="15">
        <f>IFERROR(HYPERLINK("#'Event Index'!A"&amp;(MATCH($B94,'Event Index'!$A$5:$A$1000,0)+4),"↦"),"")</f>
        <v/>
      </c>
    </row>
    <row r="95">
      <c r="C95" s="15">
        <f>IFERROR(HYPERLINK("#'Event Index'!A"&amp;(MATCH($B95,'Event Index'!$A$5:$A$1000,0)+4),"↦"),"")</f>
        <v/>
      </c>
    </row>
    <row r="96">
      <c r="C96" s="15">
        <f>IFERROR(HYPERLINK("#'Event Index'!A"&amp;(MATCH($B96,'Event Index'!$A$5:$A$1000,0)+4),"↦"),"")</f>
        <v/>
      </c>
    </row>
    <row r="97">
      <c r="C97" s="15">
        <f>IFERROR(HYPERLINK("#'Event Index'!A"&amp;(MATCH($B97,'Event Index'!$A$5:$A$1000,0)+4),"↦"),"")</f>
        <v/>
      </c>
    </row>
    <row r="98">
      <c r="C98" s="15">
        <f>IFERROR(HYPERLINK("#'Event Index'!A"&amp;(MATCH($B98,'Event Index'!$A$5:$A$1000,0)+4),"↦"),"")</f>
        <v/>
      </c>
    </row>
    <row r="99">
      <c r="C99" s="15">
        <f>IFERROR(HYPERLINK("#'Event Index'!A"&amp;(MATCH($B99,'Event Index'!$A$5:$A$1000,0)+4),"↦"),"")</f>
        <v/>
      </c>
    </row>
    <row r="100">
      <c r="C100" s="15">
        <f>IFERROR(HYPERLINK("#'Event Index'!A"&amp;(MATCH($B100,'Event Index'!$A$5:$A$1000,0)+4),"↦"),"")</f>
        <v/>
      </c>
    </row>
    <row r="101">
      <c r="C101" s="15">
        <f>IFERROR(HYPERLINK("#'Event Index'!A"&amp;(MATCH($B101,'Event Index'!$A$5:$A$1000,0)+4),"↦"),"")</f>
        <v/>
      </c>
    </row>
    <row r="102">
      <c r="C102" s="15">
        <f>IFERROR(HYPERLINK("#'Event Index'!A"&amp;(MATCH($B102,'Event Index'!$A$5:$A$1000,0)+4),"↦"),"")</f>
        <v/>
      </c>
    </row>
    <row r="103">
      <c r="C103" s="15">
        <f>IFERROR(HYPERLINK("#'Event Index'!A"&amp;(MATCH($B103,'Event Index'!$A$5:$A$1000,0)+4),"↦"),"")</f>
        <v/>
      </c>
    </row>
    <row r="104">
      <c r="C104" s="15">
        <f>IFERROR(HYPERLINK("#'Event Index'!A"&amp;(MATCH($B104,'Event Index'!$A$5:$A$1000,0)+4),"↦"),"")</f>
        <v/>
      </c>
    </row>
    <row r="105">
      <c r="C105" s="15">
        <f>IFERROR(HYPERLINK("#'Event Index'!A"&amp;(MATCH($B105,'Event Index'!$A$5:$A$1000,0)+4),"↦"),"")</f>
        <v/>
      </c>
    </row>
    <row r="106">
      <c r="C106" s="15">
        <f>IFERROR(HYPERLINK("#'Event Index'!A"&amp;(MATCH($B106,'Event Index'!$A$5:$A$1000,0)+4),"↦"),"")</f>
        <v/>
      </c>
    </row>
    <row r="107">
      <c r="C107" s="15">
        <f>IFERROR(HYPERLINK("#'Event Index'!A"&amp;(MATCH($B107,'Event Index'!$A$5:$A$1000,0)+4),"↦"),"")</f>
        <v/>
      </c>
    </row>
    <row r="108">
      <c r="C108" s="15">
        <f>IFERROR(HYPERLINK("#'Event Index'!A"&amp;(MATCH($B108,'Event Index'!$A$5:$A$1000,0)+4),"↦"),"")</f>
        <v/>
      </c>
    </row>
    <row r="109">
      <c r="C109" s="15">
        <f>IFERROR(HYPERLINK("#'Event Index'!A"&amp;(MATCH($B109,'Event Index'!$A$5:$A$1000,0)+4),"↦"),"")</f>
        <v/>
      </c>
    </row>
    <row r="110">
      <c r="C110" s="15">
        <f>IFERROR(HYPERLINK("#'Event Index'!A"&amp;(MATCH($B110,'Event Index'!$A$5:$A$1000,0)+4),"↦"),"")</f>
        <v/>
      </c>
    </row>
    <row r="111">
      <c r="C111" s="15">
        <f>IFERROR(HYPERLINK("#'Event Index'!A"&amp;(MATCH($B111,'Event Index'!$A$5:$A$1000,0)+4),"↦"),"")</f>
        <v/>
      </c>
    </row>
    <row r="112">
      <c r="C112" s="15">
        <f>IFERROR(HYPERLINK("#'Event Index'!A"&amp;(MATCH($B112,'Event Index'!$A$5:$A$1000,0)+4),"↦"),"")</f>
        <v/>
      </c>
    </row>
    <row r="113">
      <c r="C113" s="15">
        <f>IFERROR(HYPERLINK("#'Event Index'!A"&amp;(MATCH($B113,'Event Index'!$A$5:$A$1000,0)+4),"↦"),"")</f>
        <v/>
      </c>
    </row>
    <row r="114">
      <c r="C114" s="15">
        <f>IFERROR(HYPERLINK("#'Event Index'!A"&amp;(MATCH($B114,'Event Index'!$A$5:$A$1000,0)+4),"↦"),"")</f>
        <v/>
      </c>
    </row>
    <row r="115">
      <c r="C115" s="15">
        <f>IFERROR(HYPERLINK("#'Event Index'!A"&amp;(MATCH($B115,'Event Index'!$A$5:$A$1000,0)+4),"↦"),"")</f>
        <v/>
      </c>
    </row>
    <row r="116">
      <c r="C116" s="15">
        <f>IFERROR(HYPERLINK("#'Event Index'!A"&amp;(MATCH($B116,'Event Index'!$A$5:$A$1000,0)+4),"↦"),"")</f>
        <v/>
      </c>
    </row>
    <row r="117">
      <c r="C117" s="15">
        <f>IFERROR(HYPERLINK("#'Event Index'!A"&amp;(MATCH($B117,'Event Index'!$A$5:$A$1000,0)+4),"↦"),"")</f>
        <v/>
      </c>
    </row>
    <row r="118">
      <c r="C118" s="15">
        <f>IFERROR(HYPERLINK("#'Event Index'!A"&amp;(MATCH($B118,'Event Index'!$A$5:$A$1000,0)+4),"↦"),"")</f>
        <v/>
      </c>
    </row>
    <row r="119">
      <c r="C119" s="15">
        <f>IFERROR(HYPERLINK("#'Event Index'!A"&amp;(MATCH($B119,'Event Index'!$A$5:$A$1000,0)+4),"↦"),"")</f>
        <v/>
      </c>
    </row>
    <row r="120">
      <c r="C120" s="15">
        <f>IFERROR(HYPERLINK("#'Event Index'!A"&amp;(MATCH($B120,'Event Index'!$A$5:$A$1000,0)+4),"↦"),"")</f>
        <v/>
      </c>
    </row>
  </sheetData>
  <mergeCells count="2">
    <mergeCell ref="A1:I1"/>
    <mergeCell ref="A2:I2"/>
  </mergeCells>
  <dataValidations count="1">
    <dataValidation sqref="H5:H100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2F26"/>
    <outlinePr summaryBelow="1" summaryRight="1"/>
    <pageSetUpPr/>
  </sheetPr>
  <dimension ref="A1:I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14" customWidth="1" min="4" max="4"/>
    <col width="15" customWidth="1" min="5" max="5"/>
    <col width="34" customWidth="1" min="6" max="6"/>
    <col width="11" customWidth="1" min="7" max="7"/>
    <col width="12" customWidth="1" min="8" max="8"/>
    <col width="18" customWidth="1" min="9" max="9"/>
  </cols>
  <sheetData>
    <row r="1" ht="24" customHeight="1">
      <c r="A1" s="1" t="inlineStr">
        <is>
          <t>Court Ready™ · Expense</t>
        </is>
      </c>
    </row>
    <row r="2">
      <c r="A2" s="3" t="inlineStr">
        <is>
          <t>Child-related costs. The Amount column totals automatically on the Dashboard.</t>
        </is>
      </c>
    </row>
    <row r="3">
      <c r="A3" s="21" t="inlineStr">
        <is>
          <t>SAMPLE DATA — a lived-in example for reference. Your real workbook starts empty; delete these rows to begin.</t>
        </is>
      </c>
    </row>
    <row r="4">
      <c r="A4" s="12" t="inlineStr">
        <is>
          <t>Date</t>
        </is>
      </c>
      <c r="B4" s="12" t="inlineStr">
        <is>
          <t>Event ID</t>
        </is>
      </c>
      <c r="C4" s="12" t="inlineStr">
        <is>
          <t>↦</t>
        </is>
      </c>
      <c r="D4" s="12" t="inlineStr">
        <is>
          <t>Child</t>
        </is>
      </c>
      <c r="E4" s="12" t="inlineStr">
        <is>
          <t>Category</t>
        </is>
      </c>
      <c r="F4" s="12" t="inlineStr">
        <is>
          <t>Description</t>
        </is>
      </c>
      <c r="G4" s="12" t="inlineStr">
        <is>
          <t>Amount</t>
        </is>
      </c>
      <c r="H4" s="12" t="inlineStr">
        <is>
          <t>Paid By</t>
        </is>
      </c>
      <c r="I4" s="12" t="inlineStr">
        <is>
          <t>Reimbursement Status</t>
        </is>
      </c>
    </row>
    <row r="5">
      <c r="A5" s="22" t="inlineStr">
        <is>
          <t>2026-07-19</t>
        </is>
      </c>
      <c r="B5" s="22" t="inlineStr">
        <is>
          <t>EVT-0002</t>
        </is>
      </c>
      <c r="C5" s="14">
        <f>IFERROR(HYPERLINK("#'Event Index'!A"&amp;(MATCH($B5,'Event Index'!$A$5:$A$1000,0)+4),"↦"),"")</f>
        <v/>
      </c>
      <c r="D5" s="22" t="inlineStr">
        <is>
          <t>Emma</t>
        </is>
      </c>
      <c r="E5" s="22" t="inlineStr">
        <is>
          <t>Medical</t>
        </is>
      </c>
      <c r="F5" s="22" t="inlineStr">
        <is>
          <t>Co-pay, well-child visit</t>
        </is>
      </c>
      <c r="G5" s="23" t="n">
        <v>25</v>
      </c>
      <c r="H5" s="22" t="inlineStr">
        <is>
          <t>Parent A</t>
        </is>
      </c>
      <c r="I5" s="22" t="inlineStr">
        <is>
          <t>Pending</t>
        </is>
      </c>
    </row>
    <row r="6">
      <c r="A6" s="22" t="inlineStr">
        <is>
          <t>2026-08-08</t>
        </is>
      </c>
      <c r="B6" s="22" t="inlineStr">
        <is>
          <t>EVT-0007</t>
        </is>
      </c>
      <c r="C6" s="15">
        <f>IFERROR(HYPERLINK("#'Event Index'!A"&amp;(MATCH($B6,'Event Index'!$A$5:$A$1000,0)+4),"↦"),"")</f>
        <v/>
      </c>
      <c r="D6" s="22" t="inlineStr">
        <is>
          <t>Emma</t>
        </is>
      </c>
      <c r="E6" s="22" t="inlineStr">
        <is>
          <t>Activities</t>
        </is>
      </c>
      <c r="F6" s="22" t="inlineStr">
        <is>
          <t>Fall soccer registration</t>
        </is>
      </c>
      <c r="G6" s="23" t="n">
        <v>120</v>
      </c>
      <c r="H6" s="22" t="inlineStr">
        <is>
          <t>Parent A</t>
        </is>
      </c>
      <c r="I6" s="22" t="inlineStr">
        <is>
          <t>Pending</t>
        </is>
      </c>
    </row>
    <row r="7">
      <c r="C7" s="15">
        <f>IFERROR(HYPERLINK("#'Event Index'!A"&amp;(MATCH($B7,'Event Index'!$A$5:$A$1000,0)+4),"↦"),"")</f>
        <v/>
      </c>
      <c r="G7" s="17" t="n"/>
    </row>
    <row r="8">
      <c r="C8" s="15">
        <f>IFERROR(HYPERLINK("#'Event Index'!A"&amp;(MATCH($B8,'Event Index'!$A$5:$A$1000,0)+4),"↦"),"")</f>
        <v/>
      </c>
      <c r="G8" s="17" t="n"/>
    </row>
    <row r="9">
      <c r="C9" s="15">
        <f>IFERROR(HYPERLINK("#'Event Index'!A"&amp;(MATCH($B9,'Event Index'!$A$5:$A$1000,0)+4),"↦"),"")</f>
        <v/>
      </c>
      <c r="G9" s="17" t="n"/>
    </row>
    <row r="10">
      <c r="C10" s="15">
        <f>IFERROR(HYPERLINK("#'Event Index'!A"&amp;(MATCH($B10,'Event Index'!$A$5:$A$1000,0)+4),"↦"),"")</f>
        <v/>
      </c>
      <c r="G10" s="17" t="n"/>
    </row>
    <row r="11">
      <c r="C11" s="15">
        <f>IFERROR(HYPERLINK("#'Event Index'!A"&amp;(MATCH($B11,'Event Index'!$A$5:$A$1000,0)+4),"↦"),"")</f>
        <v/>
      </c>
      <c r="G11" s="17" t="n"/>
    </row>
    <row r="12">
      <c r="C12" s="15">
        <f>IFERROR(HYPERLINK("#'Event Index'!A"&amp;(MATCH($B12,'Event Index'!$A$5:$A$1000,0)+4),"↦"),"")</f>
        <v/>
      </c>
      <c r="G12" s="17" t="n"/>
    </row>
    <row r="13">
      <c r="C13" s="15">
        <f>IFERROR(HYPERLINK("#'Event Index'!A"&amp;(MATCH($B13,'Event Index'!$A$5:$A$1000,0)+4),"↦"),"")</f>
        <v/>
      </c>
      <c r="G13" s="17" t="n"/>
    </row>
    <row r="14">
      <c r="C14" s="15">
        <f>IFERROR(HYPERLINK("#'Event Index'!A"&amp;(MATCH($B14,'Event Index'!$A$5:$A$1000,0)+4),"↦"),"")</f>
        <v/>
      </c>
      <c r="G14" s="17" t="n"/>
    </row>
    <row r="15">
      <c r="C15" s="15">
        <f>IFERROR(HYPERLINK("#'Event Index'!A"&amp;(MATCH($B15,'Event Index'!$A$5:$A$1000,0)+4),"↦"),"")</f>
        <v/>
      </c>
      <c r="G15" s="17" t="n"/>
    </row>
    <row r="16">
      <c r="C16" s="15">
        <f>IFERROR(HYPERLINK("#'Event Index'!A"&amp;(MATCH($B16,'Event Index'!$A$5:$A$1000,0)+4),"↦"),"")</f>
        <v/>
      </c>
      <c r="G16" s="17" t="n"/>
    </row>
    <row r="17">
      <c r="C17" s="15">
        <f>IFERROR(HYPERLINK("#'Event Index'!A"&amp;(MATCH($B17,'Event Index'!$A$5:$A$1000,0)+4),"↦"),"")</f>
        <v/>
      </c>
      <c r="G17" s="17" t="n"/>
    </row>
    <row r="18">
      <c r="C18" s="15">
        <f>IFERROR(HYPERLINK("#'Event Index'!A"&amp;(MATCH($B18,'Event Index'!$A$5:$A$1000,0)+4),"↦"),"")</f>
        <v/>
      </c>
      <c r="G18" s="17" t="n"/>
    </row>
    <row r="19">
      <c r="C19" s="15">
        <f>IFERROR(HYPERLINK("#'Event Index'!A"&amp;(MATCH($B19,'Event Index'!$A$5:$A$1000,0)+4),"↦"),"")</f>
        <v/>
      </c>
      <c r="G19" s="17" t="n"/>
    </row>
    <row r="20">
      <c r="C20" s="15">
        <f>IFERROR(HYPERLINK("#'Event Index'!A"&amp;(MATCH($B20,'Event Index'!$A$5:$A$1000,0)+4),"↦"),"")</f>
        <v/>
      </c>
      <c r="G20" s="17" t="n"/>
    </row>
    <row r="21">
      <c r="C21" s="15">
        <f>IFERROR(HYPERLINK("#'Event Index'!A"&amp;(MATCH($B21,'Event Index'!$A$5:$A$1000,0)+4),"↦"),"")</f>
        <v/>
      </c>
      <c r="G21" s="17" t="n"/>
    </row>
    <row r="22">
      <c r="C22" s="15">
        <f>IFERROR(HYPERLINK("#'Event Index'!A"&amp;(MATCH($B22,'Event Index'!$A$5:$A$1000,0)+4),"↦"),"")</f>
        <v/>
      </c>
      <c r="G22" s="17" t="n"/>
    </row>
    <row r="23">
      <c r="C23" s="15">
        <f>IFERROR(HYPERLINK("#'Event Index'!A"&amp;(MATCH($B23,'Event Index'!$A$5:$A$1000,0)+4),"↦"),"")</f>
        <v/>
      </c>
      <c r="G23" s="17" t="n"/>
    </row>
    <row r="24">
      <c r="C24" s="15">
        <f>IFERROR(HYPERLINK("#'Event Index'!A"&amp;(MATCH($B24,'Event Index'!$A$5:$A$1000,0)+4),"↦"),"")</f>
        <v/>
      </c>
      <c r="G24" s="17" t="n"/>
    </row>
    <row r="25">
      <c r="C25" s="15">
        <f>IFERROR(HYPERLINK("#'Event Index'!A"&amp;(MATCH($B25,'Event Index'!$A$5:$A$1000,0)+4),"↦"),"")</f>
        <v/>
      </c>
      <c r="G25" s="17" t="n"/>
    </row>
    <row r="26">
      <c r="C26" s="15">
        <f>IFERROR(HYPERLINK("#'Event Index'!A"&amp;(MATCH($B26,'Event Index'!$A$5:$A$1000,0)+4),"↦"),"")</f>
        <v/>
      </c>
      <c r="G26" s="17" t="n"/>
    </row>
    <row r="27">
      <c r="C27" s="15">
        <f>IFERROR(HYPERLINK("#'Event Index'!A"&amp;(MATCH($B27,'Event Index'!$A$5:$A$1000,0)+4),"↦"),"")</f>
        <v/>
      </c>
      <c r="G27" s="17" t="n"/>
    </row>
    <row r="28">
      <c r="C28" s="15">
        <f>IFERROR(HYPERLINK("#'Event Index'!A"&amp;(MATCH($B28,'Event Index'!$A$5:$A$1000,0)+4),"↦"),"")</f>
        <v/>
      </c>
      <c r="G28" s="17" t="n"/>
    </row>
    <row r="29">
      <c r="C29" s="15">
        <f>IFERROR(HYPERLINK("#'Event Index'!A"&amp;(MATCH($B29,'Event Index'!$A$5:$A$1000,0)+4),"↦"),"")</f>
        <v/>
      </c>
      <c r="G29" s="17" t="n"/>
    </row>
    <row r="30">
      <c r="C30" s="15">
        <f>IFERROR(HYPERLINK("#'Event Index'!A"&amp;(MATCH($B30,'Event Index'!$A$5:$A$1000,0)+4),"↦"),"")</f>
        <v/>
      </c>
      <c r="G30" s="17" t="n"/>
    </row>
    <row r="31">
      <c r="C31" s="15">
        <f>IFERROR(HYPERLINK("#'Event Index'!A"&amp;(MATCH($B31,'Event Index'!$A$5:$A$1000,0)+4),"↦"),"")</f>
        <v/>
      </c>
      <c r="G31" s="17" t="n"/>
    </row>
    <row r="32">
      <c r="C32" s="15">
        <f>IFERROR(HYPERLINK("#'Event Index'!A"&amp;(MATCH($B32,'Event Index'!$A$5:$A$1000,0)+4),"↦"),"")</f>
        <v/>
      </c>
      <c r="G32" s="17" t="n"/>
    </row>
    <row r="33">
      <c r="C33" s="15">
        <f>IFERROR(HYPERLINK("#'Event Index'!A"&amp;(MATCH($B33,'Event Index'!$A$5:$A$1000,0)+4),"↦"),"")</f>
        <v/>
      </c>
      <c r="G33" s="17" t="n"/>
    </row>
    <row r="34">
      <c r="C34" s="15">
        <f>IFERROR(HYPERLINK("#'Event Index'!A"&amp;(MATCH($B34,'Event Index'!$A$5:$A$1000,0)+4),"↦"),"")</f>
        <v/>
      </c>
      <c r="G34" s="17" t="n"/>
    </row>
    <row r="35">
      <c r="C35" s="15">
        <f>IFERROR(HYPERLINK("#'Event Index'!A"&amp;(MATCH($B35,'Event Index'!$A$5:$A$1000,0)+4),"↦"),"")</f>
        <v/>
      </c>
      <c r="G35" s="17" t="n"/>
    </row>
    <row r="36">
      <c r="C36" s="15">
        <f>IFERROR(HYPERLINK("#'Event Index'!A"&amp;(MATCH($B36,'Event Index'!$A$5:$A$1000,0)+4),"↦"),"")</f>
        <v/>
      </c>
      <c r="G36" s="17" t="n"/>
    </row>
    <row r="37">
      <c r="C37" s="15">
        <f>IFERROR(HYPERLINK("#'Event Index'!A"&amp;(MATCH($B37,'Event Index'!$A$5:$A$1000,0)+4),"↦"),"")</f>
        <v/>
      </c>
      <c r="G37" s="17" t="n"/>
    </row>
    <row r="38">
      <c r="C38" s="15">
        <f>IFERROR(HYPERLINK("#'Event Index'!A"&amp;(MATCH($B38,'Event Index'!$A$5:$A$1000,0)+4),"↦"),"")</f>
        <v/>
      </c>
      <c r="G38" s="17" t="n"/>
    </row>
    <row r="39">
      <c r="C39" s="15">
        <f>IFERROR(HYPERLINK("#'Event Index'!A"&amp;(MATCH($B39,'Event Index'!$A$5:$A$1000,0)+4),"↦"),"")</f>
        <v/>
      </c>
      <c r="G39" s="17" t="n"/>
    </row>
    <row r="40">
      <c r="C40" s="15">
        <f>IFERROR(HYPERLINK("#'Event Index'!A"&amp;(MATCH($B40,'Event Index'!$A$5:$A$1000,0)+4),"↦"),"")</f>
        <v/>
      </c>
      <c r="G40" s="17" t="n"/>
    </row>
    <row r="41">
      <c r="C41" s="15">
        <f>IFERROR(HYPERLINK("#'Event Index'!A"&amp;(MATCH($B41,'Event Index'!$A$5:$A$1000,0)+4),"↦"),"")</f>
        <v/>
      </c>
      <c r="G41" s="17" t="n"/>
    </row>
    <row r="42">
      <c r="C42" s="15">
        <f>IFERROR(HYPERLINK("#'Event Index'!A"&amp;(MATCH($B42,'Event Index'!$A$5:$A$1000,0)+4),"↦"),"")</f>
        <v/>
      </c>
      <c r="G42" s="17" t="n"/>
    </row>
    <row r="43">
      <c r="C43" s="15">
        <f>IFERROR(HYPERLINK("#'Event Index'!A"&amp;(MATCH($B43,'Event Index'!$A$5:$A$1000,0)+4),"↦"),"")</f>
        <v/>
      </c>
      <c r="G43" s="17" t="n"/>
    </row>
    <row r="44">
      <c r="C44" s="15">
        <f>IFERROR(HYPERLINK("#'Event Index'!A"&amp;(MATCH($B44,'Event Index'!$A$5:$A$1000,0)+4),"↦"),"")</f>
        <v/>
      </c>
      <c r="G44" s="17" t="n"/>
    </row>
    <row r="45">
      <c r="C45" s="15">
        <f>IFERROR(HYPERLINK("#'Event Index'!A"&amp;(MATCH($B45,'Event Index'!$A$5:$A$1000,0)+4),"↦"),"")</f>
        <v/>
      </c>
      <c r="G45" s="17" t="n"/>
    </row>
    <row r="46">
      <c r="C46" s="15">
        <f>IFERROR(HYPERLINK("#'Event Index'!A"&amp;(MATCH($B46,'Event Index'!$A$5:$A$1000,0)+4),"↦"),"")</f>
        <v/>
      </c>
      <c r="G46" s="17" t="n"/>
    </row>
    <row r="47">
      <c r="C47" s="15">
        <f>IFERROR(HYPERLINK("#'Event Index'!A"&amp;(MATCH($B47,'Event Index'!$A$5:$A$1000,0)+4),"↦"),"")</f>
        <v/>
      </c>
      <c r="G47" s="17" t="n"/>
    </row>
    <row r="48">
      <c r="C48" s="15">
        <f>IFERROR(HYPERLINK("#'Event Index'!A"&amp;(MATCH($B48,'Event Index'!$A$5:$A$1000,0)+4),"↦"),"")</f>
        <v/>
      </c>
      <c r="G48" s="17" t="n"/>
    </row>
    <row r="49">
      <c r="C49" s="15">
        <f>IFERROR(HYPERLINK("#'Event Index'!A"&amp;(MATCH($B49,'Event Index'!$A$5:$A$1000,0)+4),"↦"),"")</f>
        <v/>
      </c>
      <c r="G49" s="17" t="n"/>
    </row>
    <row r="50">
      <c r="C50" s="15">
        <f>IFERROR(HYPERLINK("#'Event Index'!A"&amp;(MATCH($B50,'Event Index'!$A$5:$A$1000,0)+4),"↦"),"")</f>
        <v/>
      </c>
      <c r="G50" s="17" t="n"/>
    </row>
    <row r="51">
      <c r="C51" s="15">
        <f>IFERROR(HYPERLINK("#'Event Index'!A"&amp;(MATCH($B51,'Event Index'!$A$5:$A$1000,0)+4),"↦"),"")</f>
        <v/>
      </c>
      <c r="G51" s="17" t="n"/>
    </row>
    <row r="52">
      <c r="C52" s="15">
        <f>IFERROR(HYPERLINK("#'Event Index'!A"&amp;(MATCH($B52,'Event Index'!$A$5:$A$1000,0)+4),"↦"),"")</f>
        <v/>
      </c>
      <c r="G52" s="17" t="n"/>
    </row>
    <row r="53">
      <c r="C53" s="15">
        <f>IFERROR(HYPERLINK("#'Event Index'!A"&amp;(MATCH($B53,'Event Index'!$A$5:$A$1000,0)+4),"↦"),"")</f>
        <v/>
      </c>
      <c r="G53" s="17" t="n"/>
    </row>
    <row r="54">
      <c r="C54" s="15">
        <f>IFERROR(HYPERLINK("#'Event Index'!A"&amp;(MATCH($B54,'Event Index'!$A$5:$A$1000,0)+4),"↦"),"")</f>
        <v/>
      </c>
      <c r="G54" s="17" t="n"/>
    </row>
    <row r="55">
      <c r="C55" s="15">
        <f>IFERROR(HYPERLINK("#'Event Index'!A"&amp;(MATCH($B55,'Event Index'!$A$5:$A$1000,0)+4),"↦"),"")</f>
        <v/>
      </c>
      <c r="G55" s="17" t="n"/>
    </row>
    <row r="56">
      <c r="C56" s="15">
        <f>IFERROR(HYPERLINK("#'Event Index'!A"&amp;(MATCH($B56,'Event Index'!$A$5:$A$1000,0)+4),"↦"),"")</f>
        <v/>
      </c>
      <c r="G56" s="17" t="n"/>
    </row>
    <row r="57">
      <c r="C57" s="15">
        <f>IFERROR(HYPERLINK("#'Event Index'!A"&amp;(MATCH($B57,'Event Index'!$A$5:$A$1000,0)+4),"↦"),"")</f>
        <v/>
      </c>
      <c r="G57" s="17" t="n"/>
    </row>
    <row r="58">
      <c r="C58" s="15">
        <f>IFERROR(HYPERLINK("#'Event Index'!A"&amp;(MATCH($B58,'Event Index'!$A$5:$A$1000,0)+4),"↦"),"")</f>
        <v/>
      </c>
      <c r="G58" s="17" t="n"/>
    </row>
    <row r="59">
      <c r="C59" s="15">
        <f>IFERROR(HYPERLINK("#'Event Index'!A"&amp;(MATCH($B59,'Event Index'!$A$5:$A$1000,0)+4),"↦"),"")</f>
        <v/>
      </c>
      <c r="G59" s="17" t="n"/>
    </row>
    <row r="60">
      <c r="C60" s="15">
        <f>IFERROR(HYPERLINK("#'Event Index'!A"&amp;(MATCH($B60,'Event Index'!$A$5:$A$1000,0)+4),"↦"),"")</f>
        <v/>
      </c>
      <c r="G60" s="17" t="n"/>
    </row>
    <row r="61">
      <c r="C61" s="15">
        <f>IFERROR(HYPERLINK("#'Event Index'!A"&amp;(MATCH($B61,'Event Index'!$A$5:$A$1000,0)+4),"↦"),"")</f>
        <v/>
      </c>
      <c r="G61" s="17" t="n"/>
    </row>
    <row r="62">
      <c r="C62" s="15">
        <f>IFERROR(HYPERLINK("#'Event Index'!A"&amp;(MATCH($B62,'Event Index'!$A$5:$A$1000,0)+4),"↦"),"")</f>
        <v/>
      </c>
      <c r="G62" s="17" t="n"/>
    </row>
    <row r="63">
      <c r="C63" s="15">
        <f>IFERROR(HYPERLINK("#'Event Index'!A"&amp;(MATCH($B63,'Event Index'!$A$5:$A$1000,0)+4),"↦"),"")</f>
        <v/>
      </c>
      <c r="G63" s="17" t="n"/>
    </row>
    <row r="64">
      <c r="C64" s="15">
        <f>IFERROR(HYPERLINK("#'Event Index'!A"&amp;(MATCH($B64,'Event Index'!$A$5:$A$1000,0)+4),"↦"),"")</f>
        <v/>
      </c>
      <c r="G64" s="17" t="n"/>
    </row>
    <row r="65">
      <c r="C65" s="15">
        <f>IFERROR(HYPERLINK("#'Event Index'!A"&amp;(MATCH($B65,'Event Index'!$A$5:$A$1000,0)+4),"↦"),"")</f>
        <v/>
      </c>
      <c r="G65" s="17" t="n"/>
    </row>
    <row r="66">
      <c r="C66" s="15">
        <f>IFERROR(HYPERLINK("#'Event Index'!A"&amp;(MATCH($B66,'Event Index'!$A$5:$A$1000,0)+4),"↦"),"")</f>
        <v/>
      </c>
      <c r="G66" s="17" t="n"/>
    </row>
    <row r="67">
      <c r="C67" s="15">
        <f>IFERROR(HYPERLINK("#'Event Index'!A"&amp;(MATCH($B67,'Event Index'!$A$5:$A$1000,0)+4),"↦"),"")</f>
        <v/>
      </c>
      <c r="G67" s="17" t="n"/>
    </row>
    <row r="68">
      <c r="C68" s="15">
        <f>IFERROR(HYPERLINK("#'Event Index'!A"&amp;(MATCH($B68,'Event Index'!$A$5:$A$1000,0)+4),"↦"),"")</f>
        <v/>
      </c>
      <c r="G68" s="17" t="n"/>
    </row>
    <row r="69">
      <c r="C69" s="15">
        <f>IFERROR(HYPERLINK("#'Event Index'!A"&amp;(MATCH($B69,'Event Index'!$A$5:$A$1000,0)+4),"↦"),"")</f>
        <v/>
      </c>
      <c r="G69" s="17" t="n"/>
    </row>
    <row r="70">
      <c r="C70" s="15">
        <f>IFERROR(HYPERLINK("#'Event Index'!A"&amp;(MATCH($B70,'Event Index'!$A$5:$A$1000,0)+4),"↦"),"")</f>
        <v/>
      </c>
      <c r="G70" s="17" t="n"/>
    </row>
    <row r="71">
      <c r="C71" s="15">
        <f>IFERROR(HYPERLINK("#'Event Index'!A"&amp;(MATCH($B71,'Event Index'!$A$5:$A$1000,0)+4),"↦"),"")</f>
        <v/>
      </c>
      <c r="G71" s="17" t="n"/>
    </row>
    <row r="72">
      <c r="C72" s="15">
        <f>IFERROR(HYPERLINK("#'Event Index'!A"&amp;(MATCH($B72,'Event Index'!$A$5:$A$1000,0)+4),"↦"),"")</f>
        <v/>
      </c>
      <c r="G72" s="17" t="n"/>
    </row>
    <row r="73">
      <c r="C73" s="15">
        <f>IFERROR(HYPERLINK("#'Event Index'!A"&amp;(MATCH($B73,'Event Index'!$A$5:$A$1000,0)+4),"↦"),"")</f>
        <v/>
      </c>
      <c r="G73" s="17" t="n"/>
    </row>
    <row r="74">
      <c r="C74" s="15">
        <f>IFERROR(HYPERLINK("#'Event Index'!A"&amp;(MATCH($B74,'Event Index'!$A$5:$A$1000,0)+4),"↦"),"")</f>
        <v/>
      </c>
      <c r="G74" s="17" t="n"/>
    </row>
    <row r="75">
      <c r="C75" s="15">
        <f>IFERROR(HYPERLINK("#'Event Index'!A"&amp;(MATCH($B75,'Event Index'!$A$5:$A$1000,0)+4),"↦"),"")</f>
        <v/>
      </c>
      <c r="G75" s="17" t="n"/>
    </row>
    <row r="76">
      <c r="C76" s="15">
        <f>IFERROR(HYPERLINK("#'Event Index'!A"&amp;(MATCH($B76,'Event Index'!$A$5:$A$1000,0)+4),"↦"),"")</f>
        <v/>
      </c>
      <c r="G76" s="17" t="n"/>
    </row>
    <row r="77">
      <c r="C77" s="15">
        <f>IFERROR(HYPERLINK("#'Event Index'!A"&amp;(MATCH($B77,'Event Index'!$A$5:$A$1000,0)+4),"↦"),"")</f>
        <v/>
      </c>
      <c r="G77" s="17" t="n"/>
    </row>
    <row r="78">
      <c r="C78" s="15">
        <f>IFERROR(HYPERLINK("#'Event Index'!A"&amp;(MATCH($B78,'Event Index'!$A$5:$A$1000,0)+4),"↦"),"")</f>
        <v/>
      </c>
      <c r="G78" s="17" t="n"/>
    </row>
    <row r="79">
      <c r="C79" s="15">
        <f>IFERROR(HYPERLINK("#'Event Index'!A"&amp;(MATCH($B79,'Event Index'!$A$5:$A$1000,0)+4),"↦"),"")</f>
        <v/>
      </c>
      <c r="G79" s="17" t="n"/>
    </row>
    <row r="80">
      <c r="C80" s="15">
        <f>IFERROR(HYPERLINK("#'Event Index'!A"&amp;(MATCH($B80,'Event Index'!$A$5:$A$1000,0)+4),"↦"),"")</f>
        <v/>
      </c>
      <c r="G80" s="17" t="n"/>
    </row>
    <row r="81">
      <c r="C81" s="15">
        <f>IFERROR(HYPERLINK("#'Event Index'!A"&amp;(MATCH($B81,'Event Index'!$A$5:$A$1000,0)+4),"↦"),"")</f>
        <v/>
      </c>
      <c r="G81" s="17" t="n"/>
    </row>
    <row r="82">
      <c r="C82" s="15">
        <f>IFERROR(HYPERLINK("#'Event Index'!A"&amp;(MATCH($B82,'Event Index'!$A$5:$A$1000,0)+4),"↦"),"")</f>
        <v/>
      </c>
      <c r="G82" s="17" t="n"/>
    </row>
    <row r="83">
      <c r="C83" s="15">
        <f>IFERROR(HYPERLINK("#'Event Index'!A"&amp;(MATCH($B83,'Event Index'!$A$5:$A$1000,0)+4),"↦"),"")</f>
        <v/>
      </c>
      <c r="G83" s="17" t="n"/>
    </row>
    <row r="84">
      <c r="C84" s="15">
        <f>IFERROR(HYPERLINK("#'Event Index'!A"&amp;(MATCH($B84,'Event Index'!$A$5:$A$1000,0)+4),"↦"),"")</f>
        <v/>
      </c>
      <c r="G84" s="17" t="n"/>
    </row>
    <row r="85">
      <c r="C85" s="15">
        <f>IFERROR(HYPERLINK("#'Event Index'!A"&amp;(MATCH($B85,'Event Index'!$A$5:$A$1000,0)+4),"↦"),"")</f>
        <v/>
      </c>
      <c r="G85" s="17" t="n"/>
    </row>
    <row r="86">
      <c r="C86" s="15">
        <f>IFERROR(HYPERLINK("#'Event Index'!A"&amp;(MATCH($B86,'Event Index'!$A$5:$A$1000,0)+4),"↦"),"")</f>
        <v/>
      </c>
      <c r="G86" s="17" t="n"/>
    </row>
    <row r="87">
      <c r="C87" s="15">
        <f>IFERROR(HYPERLINK("#'Event Index'!A"&amp;(MATCH($B87,'Event Index'!$A$5:$A$1000,0)+4),"↦"),"")</f>
        <v/>
      </c>
      <c r="G87" s="17" t="n"/>
    </row>
    <row r="88">
      <c r="C88" s="15">
        <f>IFERROR(HYPERLINK("#'Event Index'!A"&amp;(MATCH($B88,'Event Index'!$A$5:$A$1000,0)+4),"↦"),"")</f>
        <v/>
      </c>
      <c r="G88" s="17" t="n"/>
    </row>
    <row r="89">
      <c r="C89" s="15">
        <f>IFERROR(HYPERLINK("#'Event Index'!A"&amp;(MATCH($B89,'Event Index'!$A$5:$A$1000,0)+4),"↦"),"")</f>
        <v/>
      </c>
      <c r="G89" s="17" t="n"/>
    </row>
    <row r="90">
      <c r="C90" s="15">
        <f>IFERROR(HYPERLINK("#'Event Index'!A"&amp;(MATCH($B90,'Event Index'!$A$5:$A$1000,0)+4),"↦"),"")</f>
        <v/>
      </c>
      <c r="G90" s="17" t="n"/>
    </row>
    <row r="91">
      <c r="C91" s="15">
        <f>IFERROR(HYPERLINK("#'Event Index'!A"&amp;(MATCH($B91,'Event Index'!$A$5:$A$1000,0)+4),"↦"),"")</f>
        <v/>
      </c>
      <c r="G91" s="17" t="n"/>
    </row>
    <row r="92">
      <c r="C92" s="15">
        <f>IFERROR(HYPERLINK("#'Event Index'!A"&amp;(MATCH($B92,'Event Index'!$A$5:$A$1000,0)+4),"↦"),"")</f>
        <v/>
      </c>
      <c r="G92" s="17" t="n"/>
    </row>
    <row r="93">
      <c r="C93" s="15">
        <f>IFERROR(HYPERLINK("#'Event Index'!A"&amp;(MATCH($B93,'Event Index'!$A$5:$A$1000,0)+4),"↦"),"")</f>
        <v/>
      </c>
      <c r="G93" s="17" t="n"/>
    </row>
    <row r="94">
      <c r="C94" s="15">
        <f>IFERROR(HYPERLINK("#'Event Index'!A"&amp;(MATCH($B94,'Event Index'!$A$5:$A$1000,0)+4),"↦"),"")</f>
        <v/>
      </c>
      <c r="G94" s="17" t="n"/>
    </row>
    <row r="95">
      <c r="C95" s="15">
        <f>IFERROR(HYPERLINK("#'Event Index'!A"&amp;(MATCH($B95,'Event Index'!$A$5:$A$1000,0)+4),"↦"),"")</f>
        <v/>
      </c>
      <c r="G95" s="17" t="n"/>
    </row>
    <row r="96">
      <c r="C96" s="15">
        <f>IFERROR(HYPERLINK("#'Event Index'!A"&amp;(MATCH($B96,'Event Index'!$A$5:$A$1000,0)+4),"↦"),"")</f>
        <v/>
      </c>
      <c r="G96" s="17" t="n"/>
    </row>
    <row r="97">
      <c r="C97" s="15">
        <f>IFERROR(HYPERLINK("#'Event Index'!A"&amp;(MATCH($B97,'Event Index'!$A$5:$A$1000,0)+4),"↦"),"")</f>
        <v/>
      </c>
      <c r="G97" s="17" t="n"/>
    </row>
    <row r="98">
      <c r="C98" s="15">
        <f>IFERROR(HYPERLINK("#'Event Index'!A"&amp;(MATCH($B98,'Event Index'!$A$5:$A$1000,0)+4),"↦"),"")</f>
        <v/>
      </c>
      <c r="G98" s="17" t="n"/>
    </row>
    <row r="99">
      <c r="C99" s="15">
        <f>IFERROR(HYPERLINK("#'Event Index'!A"&amp;(MATCH($B99,'Event Index'!$A$5:$A$1000,0)+4),"↦"),"")</f>
        <v/>
      </c>
      <c r="G99" s="17" t="n"/>
    </row>
    <row r="100">
      <c r="C100" s="15">
        <f>IFERROR(HYPERLINK("#'Event Index'!A"&amp;(MATCH($B100,'Event Index'!$A$5:$A$1000,0)+4),"↦"),"")</f>
        <v/>
      </c>
      <c r="G100" s="17" t="n"/>
    </row>
    <row r="101">
      <c r="C101" s="15">
        <f>IFERROR(HYPERLINK("#'Event Index'!A"&amp;(MATCH($B101,'Event Index'!$A$5:$A$1000,0)+4),"↦"),"")</f>
        <v/>
      </c>
      <c r="G101" s="17" t="n"/>
    </row>
    <row r="102">
      <c r="C102" s="15">
        <f>IFERROR(HYPERLINK("#'Event Index'!A"&amp;(MATCH($B102,'Event Index'!$A$5:$A$1000,0)+4),"↦"),"")</f>
        <v/>
      </c>
      <c r="G102" s="17" t="n"/>
    </row>
    <row r="103">
      <c r="C103" s="15">
        <f>IFERROR(HYPERLINK("#'Event Index'!A"&amp;(MATCH($B103,'Event Index'!$A$5:$A$1000,0)+4),"↦"),"")</f>
        <v/>
      </c>
      <c r="G103" s="17" t="n"/>
    </row>
    <row r="104">
      <c r="C104" s="15">
        <f>IFERROR(HYPERLINK("#'Event Index'!A"&amp;(MATCH($B104,'Event Index'!$A$5:$A$1000,0)+4),"↦"),"")</f>
        <v/>
      </c>
      <c r="G104" s="17" t="n"/>
    </row>
    <row r="105">
      <c r="C105" s="15">
        <f>IFERROR(HYPERLINK("#'Event Index'!A"&amp;(MATCH($B105,'Event Index'!$A$5:$A$1000,0)+4),"↦"),"")</f>
        <v/>
      </c>
      <c r="G105" s="17" t="n"/>
    </row>
    <row r="106">
      <c r="C106" s="15">
        <f>IFERROR(HYPERLINK("#'Event Index'!A"&amp;(MATCH($B106,'Event Index'!$A$5:$A$1000,0)+4),"↦"),"")</f>
        <v/>
      </c>
      <c r="G106" s="17" t="n"/>
    </row>
    <row r="107">
      <c r="C107" s="15">
        <f>IFERROR(HYPERLINK("#'Event Index'!A"&amp;(MATCH($B107,'Event Index'!$A$5:$A$1000,0)+4),"↦"),"")</f>
        <v/>
      </c>
      <c r="G107" s="17" t="n"/>
    </row>
    <row r="108">
      <c r="C108" s="15">
        <f>IFERROR(HYPERLINK("#'Event Index'!A"&amp;(MATCH($B108,'Event Index'!$A$5:$A$1000,0)+4),"↦"),"")</f>
        <v/>
      </c>
      <c r="G108" s="17" t="n"/>
    </row>
    <row r="109">
      <c r="C109" s="15">
        <f>IFERROR(HYPERLINK("#'Event Index'!A"&amp;(MATCH($B109,'Event Index'!$A$5:$A$1000,0)+4),"↦"),"")</f>
        <v/>
      </c>
      <c r="G109" s="17" t="n"/>
    </row>
    <row r="110">
      <c r="C110" s="15">
        <f>IFERROR(HYPERLINK("#'Event Index'!A"&amp;(MATCH($B110,'Event Index'!$A$5:$A$1000,0)+4),"↦"),"")</f>
        <v/>
      </c>
      <c r="G110" s="17" t="n"/>
    </row>
    <row r="111">
      <c r="C111" s="15">
        <f>IFERROR(HYPERLINK("#'Event Index'!A"&amp;(MATCH($B111,'Event Index'!$A$5:$A$1000,0)+4),"↦"),"")</f>
        <v/>
      </c>
      <c r="G111" s="17" t="n"/>
    </row>
    <row r="112">
      <c r="C112" s="15">
        <f>IFERROR(HYPERLINK("#'Event Index'!A"&amp;(MATCH($B112,'Event Index'!$A$5:$A$1000,0)+4),"↦"),"")</f>
        <v/>
      </c>
      <c r="G112" s="17" t="n"/>
    </row>
    <row r="113">
      <c r="C113" s="15">
        <f>IFERROR(HYPERLINK("#'Event Index'!A"&amp;(MATCH($B113,'Event Index'!$A$5:$A$1000,0)+4),"↦"),"")</f>
        <v/>
      </c>
      <c r="G113" s="17" t="n"/>
    </row>
    <row r="114">
      <c r="C114" s="15">
        <f>IFERROR(HYPERLINK("#'Event Index'!A"&amp;(MATCH($B114,'Event Index'!$A$5:$A$1000,0)+4),"↦"),"")</f>
        <v/>
      </c>
      <c r="G114" s="17" t="n"/>
    </row>
    <row r="115">
      <c r="C115" s="15">
        <f>IFERROR(HYPERLINK("#'Event Index'!A"&amp;(MATCH($B115,'Event Index'!$A$5:$A$1000,0)+4),"↦"),"")</f>
        <v/>
      </c>
      <c r="G115" s="17" t="n"/>
    </row>
    <row r="116">
      <c r="C116" s="15">
        <f>IFERROR(HYPERLINK("#'Event Index'!A"&amp;(MATCH($B116,'Event Index'!$A$5:$A$1000,0)+4),"↦"),"")</f>
        <v/>
      </c>
      <c r="G116" s="17" t="n"/>
    </row>
    <row r="117">
      <c r="C117" s="15">
        <f>IFERROR(HYPERLINK("#'Event Index'!A"&amp;(MATCH($B117,'Event Index'!$A$5:$A$1000,0)+4),"↦"),"")</f>
        <v/>
      </c>
      <c r="G117" s="17" t="n"/>
    </row>
    <row r="118">
      <c r="C118" s="15">
        <f>IFERROR(HYPERLINK("#'Event Index'!A"&amp;(MATCH($B118,'Event Index'!$A$5:$A$1000,0)+4),"↦"),"")</f>
        <v/>
      </c>
      <c r="G118" s="17" t="n"/>
    </row>
    <row r="119">
      <c r="C119" s="15">
        <f>IFERROR(HYPERLINK("#'Event Index'!A"&amp;(MATCH($B119,'Event Index'!$A$5:$A$1000,0)+4),"↦"),"")</f>
        <v/>
      </c>
      <c r="G119" s="17" t="n"/>
    </row>
    <row r="120">
      <c r="C120" s="15">
        <f>IFERROR(HYPERLINK("#'Event Index'!A"&amp;(MATCH($B120,'Event Index'!$A$5:$A$1000,0)+4),"↦"),"")</f>
        <v/>
      </c>
      <c r="G120" s="17" t="n"/>
    </row>
    <row r="121">
      <c r="G121" s="17" t="n"/>
    </row>
    <row r="122">
      <c r="G122" s="17" t="n"/>
    </row>
    <row r="123">
      <c r="G123" s="17" t="n"/>
    </row>
    <row r="124">
      <c r="G124" s="17" t="n"/>
    </row>
    <row r="125">
      <c r="G125" s="17" t="n"/>
    </row>
    <row r="126">
      <c r="G126" s="17" t="n"/>
    </row>
    <row r="127">
      <c r="G127" s="17" t="n"/>
    </row>
    <row r="128">
      <c r="G128" s="17" t="n"/>
    </row>
    <row r="129">
      <c r="G129" s="17" t="n"/>
    </row>
    <row r="130">
      <c r="G130" s="17" t="n"/>
    </row>
    <row r="131">
      <c r="G131" s="17" t="n"/>
    </row>
    <row r="132">
      <c r="G132" s="17" t="n"/>
    </row>
    <row r="133">
      <c r="G133" s="17" t="n"/>
    </row>
    <row r="134">
      <c r="G134" s="17" t="n"/>
    </row>
    <row r="135">
      <c r="G135" s="17" t="n"/>
    </row>
    <row r="136">
      <c r="G136" s="17" t="n"/>
    </row>
    <row r="137">
      <c r="G137" s="17" t="n"/>
    </row>
    <row r="138">
      <c r="G138" s="17" t="n"/>
    </row>
    <row r="139">
      <c r="G139" s="17" t="n"/>
    </row>
    <row r="140">
      <c r="G140" s="17" t="n"/>
    </row>
    <row r="141">
      <c r="G141" s="17" t="n"/>
    </row>
    <row r="142">
      <c r="G142" s="17" t="n"/>
    </row>
    <row r="143">
      <c r="G143" s="17" t="n"/>
    </row>
    <row r="144">
      <c r="G144" s="17" t="n"/>
    </row>
    <row r="145">
      <c r="G145" s="17" t="n"/>
    </row>
    <row r="146">
      <c r="G146" s="17" t="n"/>
    </row>
    <row r="147">
      <c r="G147" s="17" t="n"/>
    </row>
    <row r="148">
      <c r="G148" s="17" t="n"/>
    </row>
    <row r="149">
      <c r="G149" s="17" t="n"/>
    </row>
    <row r="150">
      <c r="G150" s="17" t="n"/>
    </row>
    <row r="151">
      <c r="G151" s="17" t="n"/>
    </row>
    <row r="152">
      <c r="G152" s="17" t="n"/>
    </row>
    <row r="153">
      <c r="G153" s="17" t="n"/>
    </row>
    <row r="154">
      <c r="G154" s="17" t="n"/>
    </row>
    <row r="155">
      <c r="G155" s="17" t="n"/>
    </row>
    <row r="156">
      <c r="G156" s="17" t="n"/>
    </row>
    <row r="157">
      <c r="G157" s="17" t="n"/>
    </row>
    <row r="158">
      <c r="G158" s="17" t="n"/>
    </row>
    <row r="159">
      <c r="G159" s="17" t="n"/>
    </row>
    <row r="160">
      <c r="G160" s="17" t="n"/>
    </row>
    <row r="161">
      <c r="G161" s="17" t="n"/>
    </row>
    <row r="162">
      <c r="G162" s="17" t="n"/>
    </row>
    <row r="163">
      <c r="G163" s="17" t="n"/>
    </row>
    <row r="164">
      <c r="G164" s="17" t="n"/>
    </row>
    <row r="165">
      <c r="G165" s="17" t="n"/>
    </row>
    <row r="166">
      <c r="G166" s="17" t="n"/>
    </row>
    <row r="167">
      <c r="G167" s="17" t="n"/>
    </row>
    <row r="168">
      <c r="G168" s="17" t="n"/>
    </row>
    <row r="169">
      <c r="G169" s="17" t="n"/>
    </row>
    <row r="170">
      <c r="G170" s="17" t="n"/>
    </row>
    <row r="171">
      <c r="G171" s="17" t="n"/>
    </row>
    <row r="172">
      <c r="G172" s="17" t="n"/>
    </row>
    <row r="173">
      <c r="G173" s="17" t="n"/>
    </row>
    <row r="174">
      <c r="G174" s="17" t="n"/>
    </row>
    <row r="175">
      <c r="G175" s="17" t="n"/>
    </row>
    <row r="176">
      <c r="G176" s="17" t="n"/>
    </row>
    <row r="177">
      <c r="G177" s="17" t="n"/>
    </row>
    <row r="178">
      <c r="G178" s="17" t="n"/>
    </row>
    <row r="179">
      <c r="G179" s="17" t="n"/>
    </row>
    <row r="180">
      <c r="G180" s="17" t="n"/>
    </row>
    <row r="181">
      <c r="G181" s="17" t="n"/>
    </row>
    <row r="182">
      <c r="G182" s="17" t="n"/>
    </row>
    <row r="183">
      <c r="G183" s="17" t="n"/>
    </row>
    <row r="184">
      <c r="G184" s="17" t="n"/>
    </row>
    <row r="185">
      <c r="G185" s="17" t="n"/>
    </row>
    <row r="186">
      <c r="G186" s="17" t="n"/>
    </row>
    <row r="187">
      <c r="G187" s="17" t="n"/>
    </row>
    <row r="188">
      <c r="G188" s="17" t="n"/>
    </row>
    <row r="189">
      <c r="G189" s="17" t="n"/>
    </row>
    <row r="190">
      <c r="G190" s="17" t="n"/>
    </row>
    <row r="191">
      <c r="G191" s="17" t="n"/>
    </row>
    <row r="192">
      <c r="G192" s="17" t="n"/>
    </row>
    <row r="193">
      <c r="G193" s="17" t="n"/>
    </row>
    <row r="194">
      <c r="G194" s="17" t="n"/>
    </row>
    <row r="195">
      <c r="G195" s="17" t="n"/>
    </row>
    <row r="196">
      <c r="G196" s="17" t="n"/>
    </row>
    <row r="197">
      <c r="G197" s="17" t="n"/>
    </row>
    <row r="198">
      <c r="G198" s="17" t="n"/>
    </row>
    <row r="199">
      <c r="G199" s="17" t="n"/>
    </row>
    <row r="200">
      <c r="G200" s="17" t="n"/>
    </row>
    <row r="201">
      <c r="G201" s="17" t="n"/>
    </row>
    <row r="202">
      <c r="G202" s="17" t="n"/>
    </row>
    <row r="203">
      <c r="G203" s="17" t="n"/>
    </row>
    <row r="204">
      <c r="G204" s="17" t="n"/>
    </row>
    <row r="205">
      <c r="G205" s="17" t="n"/>
    </row>
    <row r="206">
      <c r="G206" s="17" t="n"/>
    </row>
    <row r="207">
      <c r="G207" s="17" t="n"/>
    </row>
    <row r="208">
      <c r="G208" s="17" t="n"/>
    </row>
    <row r="209">
      <c r="G209" s="17" t="n"/>
    </row>
    <row r="210">
      <c r="G210" s="17" t="n"/>
    </row>
    <row r="211">
      <c r="G211" s="17" t="n"/>
    </row>
    <row r="212">
      <c r="G212" s="17" t="n"/>
    </row>
    <row r="213">
      <c r="G213" s="17" t="n"/>
    </row>
    <row r="214">
      <c r="G214" s="17" t="n"/>
    </row>
    <row r="215">
      <c r="G215" s="17" t="n"/>
    </row>
    <row r="216">
      <c r="G216" s="17" t="n"/>
    </row>
    <row r="217">
      <c r="G217" s="17" t="n"/>
    </row>
    <row r="218">
      <c r="G218" s="17" t="n"/>
    </row>
    <row r="219">
      <c r="G219" s="17" t="n"/>
    </row>
    <row r="220">
      <c r="G220" s="17" t="n"/>
    </row>
    <row r="221">
      <c r="G221" s="17" t="n"/>
    </row>
    <row r="222">
      <c r="G222" s="17" t="n"/>
    </row>
    <row r="223">
      <c r="G223" s="17" t="n"/>
    </row>
    <row r="224">
      <c r="G224" s="17" t="n"/>
    </row>
    <row r="225">
      <c r="G225" s="17" t="n"/>
    </row>
    <row r="226">
      <c r="G226" s="17" t="n"/>
    </row>
    <row r="227">
      <c r="G227" s="17" t="n"/>
    </row>
    <row r="228">
      <c r="G228" s="17" t="n"/>
    </row>
    <row r="229">
      <c r="G229" s="17" t="n"/>
    </row>
    <row r="230">
      <c r="G230" s="17" t="n"/>
    </row>
    <row r="231">
      <c r="G231" s="17" t="n"/>
    </row>
    <row r="232">
      <c r="G232" s="17" t="n"/>
    </row>
    <row r="233">
      <c r="G233" s="17" t="n"/>
    </row>
    <row r="234">
      <c r="G234" s="17" t="n"/>
    </row>
    <row r="235">
      <c r="G235" s="17" t="n"/>
    </row>
    <row r="236">
      <c r="G236" s="17" t="n"/>
    </row>
    <row r="237">
      <c r="G237" s="17" t="n"/>
    </row>
    <row r="238">
      <c r="G238" s="17" t="n"/>
    </row>
    <row r="239">
      <c r="G239" s="17" t="n"/>
    </row>
    <row r="240">
      <c r="G240" s="17" t="n"/>
    </row>
    <row r="241">
      <c r="G241" s="17" t="n"/>
    </row>
    <row r="242">
      <c r="G242" s="17" t="n"/>
    </row>
    <row r="243">
      <c r="G243" s="17" t="n"/>
    </row>
    <row r="244">
      <c r="G244" s="17" t="n"/>
    </row>
    <row r="245">
      <c r="G245" s="17" t="n"/>
    </row>
    <row r="246">
      <c r="G246" s="17" t="n"/>
    </row>
    <row r="247">
      <c r="G247" s="17" t="n"/>
    </row>
    <row r="248">
      <c r="G248" s="17" t="n"/>
    </row>
    <row r="249">
      <c r="G249" s="17" t="n"/>
    </row>
    <row r="250">
      <c r="G250" s="17" t="n"/>
    </row>
    <row r="251">
      <c r="G251" s="17" t="n"/>
    </row>
    <row r="252">
      <c r="G252" s="17" t="n"/>
    </row>
    <row r="253">
      <c r="G253" s="17" t="n"/>
    </row>
    <row r="254">
      <c r="G254" s="17" t="n"/>
    </row>
    <row r="255">
      <c r="G255" s="17" t="n"/>
    </row>
    <row r="256">
      <c r="G256" s="17" t="n"/>
    </row>
    <row r="257">
      <c r="G257" s="17" t="n"/>
    </row>
    <row r="258">
      <c r="G258" s="17" t="n"/>
    </row>
    <row r="259">
      <c r="G259" s="17" t="n"/>
    </row>
    <row r="260">
      <c r="G260" s="17" t="n"/>
    </row>
    <row r="261">
      <c r="G261" s="17" t="n"/>
    </row>
    <row r="262">
      <c r="G262" s="17" t="n"/>
    </row>
    <row r="263">
      <c r="G263" s="17" t="n"/>
    </row>
    <row r="264">
      <c r="G264" s="17" t="n"/>
    </row>
    <row r="265">
      <c r="G265" s="17" t="n"/>
    </row>
    <row r="266">
      <c r="G266" s="17" t="n"/>
    </row>
    <row r="267">
      <c r="G267" s="17" t="n"/>
    </row>
    <row r="268">
      <c r="G268" s="17" t="n"/>
    </row>
    <row r="269">
      <c r="G269" s="17" t="n"/>
    </row>
    <row r="270">
      <c r="G270" s="17" t="n"/>
    </row>
    <row r="271">
      <c r="G271" s="17" t="n"/>
    </row>
    <row r="272">
      <c r="G272" s="17" t="n"/>
    </row>
    <row r="273">
      <c r="G273" s="17" t="n"/>
    </row>
    <row r="274">
      <c r="G274" s="17" t="n"/>
    </row>
    <row r="275">
      <c r="G275" s="17" t="n"/>
    </row>
    <row r="276">
      <c r="G276" s="17" t="n"/>
    </row>
    <row r="277">
      <c r="G277" s="17" t="n"/>
    </row>
    <row r="278">
      <c r="G278" s="17" t="n"/>
    </row>
    <row r="279">
      <c r="G279" s="17" t="n"/>
    </row>
    <row r="280">
      <c r="G280" s="17" t="n"/>
    </row>
    <row r="281">
      <c r="G281" s="17" t="n"/>
    </row>
    <row r="282">
      <c r="G282" s="17" t="n"/>
    </row>
    <row r="283">
      <c r="G283" s="17" t="n"/>
    </row>
    <row r="284">
      <c r="G284" s="17" t="n"/>
    </row>
    <row r="285">
      <c r="G285" s="17" t="n"/>
    </row>
    <row r="286">
      <c r="G286" s="17" t="n"/>
    </row>
    <row r="287">
      <c r="G287" s="17" t="n"/>
    </row>
    <row r="288">
      <c r="G288" s="17" t="n"/>
    </row>
    <row r="289">
      <c r="G289" s="17" t="n"/>
    </row>
    <row r="290">
      <c r="G290" s="17" t="n"/>
    </row>
    <row r="291">
      <c r="G291" s="17" t="n"/>
    </row>
    <row r="292">
      <c r="G292" s="17" t="n"/>
    </row>
    <row r="293">
      <c r="G293" s="17" t="n"/>
    </row>
    <row r="294">
      <c r="G294" s="17" t="n"/>
    </row>
    <row r="295">
      <c r="G295" s="17" t="n"/>
    </row>
    <row r="296">
      <c r="G296" s="17" t="n"/>
    </row>
    <row r="297">
      <c r="G297" s="17" t="n"/>
    </row>
    <row r="298">
      <c r="G298" s="17" t="n"/>
    </row>
    <row r="299">
      <c r="G299" s="17" t="n"/>
    </row>
    <row r="300">
      <c r="G300" s="17" t="n"/>
    </row>
    <row r="301">
      <c r="G301" s="17" t="n"/>
    </row>
    <row r="302">
      <c r="G302" s="17" t="n"/>
    </row>
    <row r="303">
      <c r="G303" s="17" t="n"/>
    </row>
    <row r="304">
      <c r="G304" s="17" t="n"/>
    </row>
    <row r="305">
      <c r="G305" s="17" t="n"/>
    </row>
    <row r="306">
      <c r="G306" s="17" t="n"/>
    </row>
    <row r="307">
      <c r="G307" s="17" t="n"/>
    </row>
    <row r="308">
      <c r="G308" s="17" t="n"/>
    </row>
    <row r="309">
      <c r="G309" s="17" t="n"/>
    </row>
    <row r="310">
      <c r="G310" s="17" t="n"/>
    </row>
    <row r="311">
      <c r="G311" s="17" t="n"/>
    </row>
    <row r="312">
      <c r="G312" s="17" t="n"/>
    </row>
    <row r="313">
      <c r="G313" s="17" t="n"/>
    </row>
    <row r="314">
      <c r="G314" s="17" t="n"/>
    </row>
    <row r="315">
      <c r="G315" s="17" t="n"/>
    </row>
    <row r="316">
      <c r="G316" s="17" t="n"/>
    </row>
    <row r="317">
      <c r="G317" s="17" t="n"/>
    </row>
    <row r="318">
      <c r="G318" s="17" t="n"/>
    </row>
    <row r="319">
      <c r="G319" s="17" t="n"/>
    </row>
    <row r="320">
      <c r="G320" s="17" t="n"/>
    </row>
    <row r="321">
      <c r="G321" s="17" t="n"/>
    </row>
    <row r="322">
      <c r="G322" s="17" t="n"/>
    </row>
    <row r="323">
      <c r="G323" s="17" t="n"/>
    </row>
    <row r="324">
      <c r="G324" s="17" t="n"/>
    </row>
    <row r="325">
      <c r="G325" s="17" t="n"/>
    </row>
    <row r="326">
      <c r="G326" s="17" t="n"/>
    </row>
    <row r="327">
      <c r="G327" s="17" t="n"/>
    </row>
    <row r="328">
      <c r="G328" s="17" t="n"/>
    </row>
    <row r="329">
      <c r="G329" s="17" t="n"/>
    </row>
    <row r="330">
      <c r="G330" s="17" t="n"/>
    </row>
    <row r="331">
      <c r="G331" s="17" t="n"/>
    </row>
    <row r="332">
      <c r="G332" s="17" t="n"/>
    </row>
    <row r="333">
      <c r="G333" s="17" t="n"/>
    </row>
    <row r="334">
      <c r="G334" s="17" t="n"/>
    </row>
    <row r="335">
      <c r="G335" s="17" t="n"/>
    </row>
    <row r="336">
      <c r="G336" s="17" t="n"/>
    </row>
    <row r="337">
      <c r="G337" s="17" t="n"/>
    </row>
    <row r="338">
      <c r="G338" s="17" t="n"/>
    </row>
    <row r="339">
      <c r="G339" s="17" t="n"/>
    </row>
    <row r="340">
      <c r="G340" s="17" t="n"/>
    </row>
    <row r="341">
      <c r="G341" s="17" t="n"/>
    </row>
    <row r="342">
      <c r="G342" s="17" t="n"/>
    </row>
    <row r="343">
      <c r="G343" s="17" t="n"/>
    </row>
    <row r="344">
      <c r="G344" s="17" t="n"/>
    </row>
    <row r="345">
      <c r="G345" s="17" t="n"/>
    </row>
    <row r="346">
      <c r="G346" s="17" t="n"/>
    </row>
    <row r="347">
      <c r="G347" s="17" t="n"/>
    </row>
    <row r="348">
      <c r="G348" s="17" t="n"/>
    </row>
    <row r="349">
      <c r="G349" s="17" t="n"/>
    </row>
    <row r="350">
      <c r="G350" s="17" t="n"/>
    </row>
    <row r="351">
      <c r="G351" s="17" t="n"/>
    </row>
    <row r="352">
      <c r="G352" s="17" t="n"/>
    </row>
    <row r="353">
      <c r="G353" s="17" t="n"/>
    </row>
    <row r="354">
      <c r="G354" s="17" t="n"/>
    </row>
    <row r="355">
      <c r="G355" s="17" t="n"/>
    </row>
    <row r="356">
      <c r="G356" s="17" t="n"/>
    </row>
    <row r="357">
      <c r="G357" s="17" t="n"/>
    </row>
    <row r="358">
      <c r="G358" s="17" t="n"/>
    </row>
    <row r="359">
      <c r="G359" s="17" t="n"/>
    </row>
    <row r="360">
      <c r="G360" s="17" t="n"/>
    </row>
    <row r="361">
      <c r="G361" s="17" t="n"/>
    </row>
    <row r="362">
      <c r="G362" s="17" t="n"/>
    </row>
    <row r="363">
      <c r="G363" s="17" t="n"/>
    </row>
    <row r="364">
      <c r="G364" s="17" t="n"/>
    </row>
    <row r="365">
      <c r="G365" s="17" t="n"/>
    </row>
    <row r="366">
      <c r="G366" s="17" t="n"/>
    </row>
    <row r="367">
      <c r="G367" s="17" t="n"/>
    </row>
    <row r="368">
      <c r="G368" s="17" t="n"/>
    </row>
    <row r="369">
      <c r="G369" s="17" t="n"/>
    </row>
    <row r="370">
      <c r="G370" s="17" t="n"/>
    </row>
    <row r="371">
      <c r="G371" s="17" t="n"/>
    </row>
    <row r="372">
      <c r="G372" s="17" t="n"/>
    </row>
    <row r="373">
      <c r="G373" s="17" t="n"/>
    </row>
    <row r="374">
      <c r="G374" s="17" t="n"/>
    </row>
    <row r="375">
      <c r="G375" s="17" t="n"/>
    </row>
    <row r="376">
      <c r="G376" s="17" t="n"/>
    </row>
    <row r="377">
      <c r="G377" s="17" t="n"/>
    </row>
    <row r="378">
      <c r="G378" s="17" t="n"/>
    </row>
    <row r="379">
      <c r="G379" s="17" t="n"/>
    </row>
    <row r="380">
      <c r="G380" s="17" t="n"/>
    </row>
    <row r="381">
      <c r="G381" s="17" t="n"/>
    </row>
    <row r="382">
      <c r="G382" s="17" t="n"/>
    </row>
    <row r="383">
      <c r="G383" s="17" t="n"/>
    </row>
    <row r="384">
      <c r="G384" s="17" t="n"/>
    </row>
    <row r="385">
      <c r="G385" s="17" t="n"/>
    </row>
    <row r="386">
      <c r="G386" s="17" t="n"/>
    </row>
    <row r="387">
      <c r="G387" s="17" t="n"/>
    </row>
    <row r="388">
      <c r="G388" s="17" t="n"/>
    </row>
    <row r="389">
      <c r="G389" s="17" t="n"/>
    </row>
    <row r="390">
      <c r="G390" s="17" t="n"/>
    </row>
    <row r="391">
      <c r="G391" s="17" t="n"/>
    </row>
    <row r="392">
      <c r="G392" s="17" t="n"/>
    </row>
    <row r="393">
      <c r="G393" s="17" t="n"/>
    </row>
    <row r="394">
      <c r="G394" s="17" t="n"/>
    </row>
    <row r="395">
      <c r="G395" s="17" t="n"/>
    </row>
    <row r="396">
      <c r="G396" s="17" t="n"/>
    </row>
    <row r="397">
      <c r="G397" s="17" t="n"/>
    </row>
    <row r="398">
      <c r="G398" s="17" t="n"/>
    </row>
    <row r="399">
      <c r="G399" s="17" t="n"/>
    </row>
    <row r="400">
      <c r="G400" s="17" t="n"/>
    </row>
    <row r="401">
      <c r="G401" s="17" t="n"/>
    </row>
    <row r="402">
      <c r="G402" s="17" t="n"/>
    </row>
    <row r="403">
      <c r="G403" s="17" t="n"/>
    </row>
    <row r="404">
      <c r="G404" s="17" t="n"/>
    </row>
    <row r="405">
      <c r="G405" s="17" t="n"/>
    </row>
    <row r="406">
      <c r="G406" s="17" t="n"/>
    </row>
    <row r="407">
      <c r="G407" s="17" t="n"/>
    </row>
    <row r="408">
      <c r="G408" s="17" t="n"/>
    </row>
    <row r="409">
      <c r="G409" s="17" t="n"/>
    </row>
    <row r="410">
      <c r="G410" s="17" t="n"/>
    </row>
    <row r="411">
      <c r="G411" s="17" t="n"/>
    </row>
    <row r="412">
      <c r="G412" s="17" t="n"/>
    </row>
    <row r="413">
      <c r="G413" s="17" t="n"/>
    </row>
    <row r="414">
      <c r="G414" s="17" t="n"/>
    </row>
    <row r="415">
      <c r="G415" s="17" t="n"/>
    </row>
    <row r="416">
      <c r="G416" s="17" t="n"/>
    </row>
    <row r="417">
      <c r="G417" s="17" t="n"/>
    </row>
    <row r="418">
      <c r="G418" s="17" t="n"/>
    </row>
    <row r="419">
      <c r="G419" s="17" t="n"/>
    </row>
    <row r="420">
      <c r="G420" s="17" t="n"/>
    </row>
    <row r="421">
      <c r="G421" s="17" t="n"/>
    </row>
    <row r="422">
      <c r="G422" s="17" t="n"/>
    </row>
    <row r="423">
      <c r="G423" s="17" t="n"/>
    </row>
    <row r="424">
      <c r="G424" s="17" t="n"/>
    </row>
    <row r="425">
      <c r="G425" s="17" t="n"/>
    </row>
    <row r="426">
      <c r="G426" s="17" t="n"/>
    </row>
    <row r="427">
      <c r="G427" s="17" t="n"/>
    </row>
    <row r="428">
      <c r="G428" s="17" t="n"/>
    </row>
    <row r="429">
      <c r="G429" s="17" t="n"/>
    </row>
    <row r="430">
      <c r="G430" s="17" t="n"/>
    </row>
    <row r="431">
      <c r="G431" s="17" t="n"/>
    </row>
    <row r="432">
      <c r="G432" s="17" t="n"/>
    </row>
    <row r="433">
      <c r="G433" s="17" t="n"/>
    </row>
    <row r="434">
      <c r="G434" s="17" t="n"/>
    </row>
    <row r="435">
      <c r="G435" s="17" t="n"/>
    </row>
    <row r="436">
      <c r="G436" s="17" t="n"/>
    </row>
    <row r="437">
      <c r="G437" s="17" t="n"/>
    </row>
    <row r="438">
      <c r="G438" s="17" t="n"/>
    </row>
    <row r="439">
      <c r="G439" s="17" t="n"/>
    </row>
    <row r="440">
      <c r="G440" s="17" t="n"/>
    </row>
    <row r="441">
      <c r="G441" s="17" t="n"/>
    </row>
    <row r="442">
      <c r="G442" s="17" t="n"/>
    </row>
    <row r="443">
      <c r="G443" s="17" t="n"/>
    </row>
    <row r="444">
      <c r="G444" s="17" t="n"/>
    </row>
    <row r="445">
      <c r="G445" s="17" t="n"/>
    </row>
    <row r="446">
      <c r="G446" s="17" t="n"/>
    </row>
    <row r="447">
      <c r="G447" s="17" t="n"/>
    </row>
    <row r="448">
      <c r="G448" s="17" t="n"/>
    </row>
    <row r="449">
      <c r="G449" s="17" t="n"/>
    </row>
    <row r="450">
      <c r="G450" s="17" t="n"/>
    </row>
    <row r="451">
      <c r="G451" s="17" t="n"/>
    </row>
    <row r="452">
      <c r="G452" s="17" t="n"/>
    </row>
    <row r="453">
      <c r="G453" s="17" t="n"/>
    </row>
    <row r="454">
      <c r="G454" s="17" t="n"/>
    </row>
    <row r="455">
      <c r="G455" s="17" t="n"/>
    </row>
    <row r="456">
      <c r="G456" s="17" t="n"/>
    </row>
    <row r="457">
      <c r="G457" s="17" t="n"/>
    </row>
    <row r="458">
      <c r="G458" s="17" t="n"/>
    </row>
    <row r="459">
      <c r="G459" s="17" t="n"/>
    </row>
    <row r="460">
      <c r="G460" s="17" t="n"/>
    </row>
    <row r="461">
      <c r="G461" s="17" t="n"/>
    </row>
    <row r="462">
      <c r="G462" s="17" t="n"/>
    </row>
    <row r="463">
      <c r="G463" s="17" t="n"/>
    </row>
    <row r="464">
      <c r="G464" s="17" t="n"/>
    </row>
    <row r="465">
      <c r="G465" s="17" t="n"/>
    </row>
    <row r="466">
      <c r="G466" s="17" t="n"/>
    </row>
    <row r="467">
      <c r="G467" s="17" t="n"/>
    </row>
    <row r="468">
      <c r="G468" s="17" t="n"/>
    </row>
    <row r="469">
      <c r="G469" s="17" t="n"/>
    </row>
    <row r="470">
      <c r="G470" s="17" t="n"/>
    </row>
    <row r="471">
      <c r="G471" s="17" t="n"/>
    </row>
    <row r="472">
      <c r="G472" s="17" t="n"/>
    </row>
    <row r="473">
      <c r="G473" s="17" t="n"/>
    </row>
    <row r="474">
      <c r="G474" s="17" t="n"/>
    </row>
    <row r="475">
      <c r="G475" s="17" t="n"/>
    </row>
    <row r="476">
      <c r="G476" s="17" t="n"/>
    </row>
    <row r="477">
      <c r="G477" s="17" t="n"/>
    </row>
    <row r="478">
      <c r="G478" s="17" t="n"/>
    </row>
    <row r="479">
      <c r="G479" s="17" t="n"/>
    </row>
    <row r="480">
      <c r="G480" s="17" t="n"/>
    </row>
    <row r="481">
      <c r="G481" s="17" t="n"/>
    </row>
    <row r="482">
      <c r="G482" s="17" t="n"/>
    </row>
    <row r="483">
      <c r="G483" s="17" t="n"/>
    </row>
    <row r="484">
      <c r="G484" s="17" t="n"/>
    </row>
    <row r="485">
      <c r="G485" s="17" t="n"/>
    </row>
    <row r="486">
      <c r="G486" s="17" t="n"/>
    </row>
    <row r="487">
      <c r="G487" s="17" t="n"/>
    </row>
    <row r="488">
      <c r="G488" s="17" t="n"/>
    </row>
    <row r="489">
      <c r="G489" s="17" t="n"/>
    </row>
    <row r="490">
      <c r="G490" s="17" t="n"/>
    </row>
    <row r="491">
      <c r="G491" s="17" t="n"/>
    </row>
    <row r="492">
      <c r="G492" s="17" t="n"/>
    </row>
    <row r="493">
      <c r="G493" s="17" t="n"/>
    </row>
    <row r="494">
      <c r="G494" s="17" t="n"/>
    </row>
    <row r="495">
      <c r="G495" s="17" t="n"/>
    </row>
    <row r="496">
      <c r="G496" s="17" t="n"/>
    </row>
    <row r="497">
      <c r="G497" s="17" t="n"/>
    </row>
    <row r="498">
      <c r="G498" s="17" t="n"/>
    </row>
    <row r="499">
      <c r="G499" s="17" t="n"/>
    </row>
    <row r="500">
      <c r="G500" s="17" t="n"/>
    </row>
    <row r="501">
      <c r="G501" s="17" t="n"/>
    </row>
    <row r="502">
      <c r="G502" s="17" t="n"/>
    </row>
    <row r="503">
      <c r="G503" s="17" t="n"/>
    </row>
    <row r="504">
      <c r="G504" s="17" t="n"/>
    </row>
    <row r="505">
      <c r="G505" s="17" t="n"/>
    </row>
    <row r="506">
      <c r="G506" s="17" t="n"/>
    </row>
    <row r="507">
      <c r="G507" s="17" t="n"/>
    </row>
    <row r="508">
      <c r="G508" s="17" t="n"/>
    </row>
    <row r="509">
      <c r="G509" s="17" t="n"/>
    </row>
    <row r="510">
      <c r="G510" s="17" t="n"/>
    </row>
    <row r="511">
      <c r="G511" s="17" t="n"/>
    </row>
    <row r="512">
      <c r="G512" s="17" t="n"/>
    </row>
    <row r="513">
      <c r="G513" s="17" t="n"/>
    </row>
    <row r="514">
      <c r="G514" s="17" t="n"/>
    </row>
    <row r="515">
      <c r="G515" s="17" t="n"/>
    </row>
    <row r="516">
      <c r="G516" s="17" t="n"/>
    </row>
    <row r="517">
      <c r="G517" s="17" t="n"/>
    </row>
    <row r="518">
      <c r="G518" s="17" t="n"/>
    </row>
    <row r="519">
      <c r="G519" s="17" t="n"/>
    </row>
    <row r="520">
      <c r="G520" s="17" t="n"/>
    </row>
    <row r="521">
      <c r="G521" s="17" t="n"/>
    </row>
    <row r="522">
      <c r="G522" s="17" t="n"/>
    </row>
    <row r="523">
      <c r="G523" s="17" t="n"/>
    </row>
    <row r="524">
      <c r="G524" s="17" t="n"/>
    </row>
    <row r="525">
      <c r="G525" s="17" t="n"/>
    </row>
    <row r="526">
      <c r="G526" s="17" t="n"/>
    </row>
    <row r="527">
      <c r="G527" s="17" t="n"/>
    </row>
    <row r="528">
      <c r="G528" s="17" t="n"/>
    </row>
    <row r="529">
      <c r="G529" s="17" t="n"/>
    </row>
    <row r="530">
      <c r="G530" s="17" t="n"/>
    </row>
    <row r="531">
      <c r="G531" s="17" t="n"/>
    </row>
    <row r="532">
      <c r="G532" s="17" t="n"/>
    </row>
    <row r="533">
      <c r="G533" s="17" t="n"/>
    </row>
    <row r="534">
      <c r="G534" s="17" t="n"/>
    </row>
    <row r="535">
      <c r="G535" s="17" t="n"/>
    </row>
    <row r="536">
      <c r="G536" s="17" t="n"/>
    </row>
    <row r="537">
      <c r="G537" s="17" t="n"/>
    </row>
    <row r="538">
      <c r="G538" s="17" t="n"/>
    </row>
    <row r="539">
      <c r="G539" s="17" t="n"/>
    </row>
    <row r="540">
      <c r="G540" s="17" t="n"/>
    </row>
    <row r="541">
      <c r="G541" s="17" t="n"/>
    </row>
    <row r="542">
      <c r="G542" s="17" t="n"/>
    </row>
    <row r="543">
      <c r="G543" s="17" t="n"/>
    </row>
    <row r="544">
      <c r="G544" s="17" t="n"/>
    </row>
    <row r="545">
      <c r="G545" s="17" t="n"/>
    </row>
    <row r="546">
      <c r="G546" s="17" t="n"/>
    </row>
    <row r="547">
      <c r="G547" s="17" t="n"/>
    </row>
    <row r="548">
      <c r="G548" s="17" t="n"/>
    </row>
    <row r="549">
      <c r="G549" s="17" t="n"/>
    </row>
    <row r="550">
      <c r="G550" s="17" t="n"/>
    </row>
    <row r="551">
      <c r="G551" s="17" t="n"/>
    </row>
    <row r="552">
      <c r="G552" s="17" t="n"/>
    </row>
    <row r="553">
      <c r="G553" s="17" t="n"/>
    </row>
    <row r="554">
      <c r="G554" s="17" t="n"/>
    </row>
    <row r="555">
      <c r="G555" s="17" t="n"/>
    </row>
    <row r="556">
      <c r="G556" s="17" t="n"/>
    </row>
    <row r="557">
      <c r="G557" s="17" t="n"/>
    </row>
    <row r="558">
      <c r="G558" s="17" t="n"/>
    </row>
    <row r="559">
      <c r="G559" s="17" t="n"/>
    </row>
    <row r="560">
      <c r="G560" s="17" t="n"/>
    </row>
    <row r="561">
      <c r="G561" s="17" t="n"/>
    </row>
    <row r="562">
      <c r="G562" s="17" t="n"/>
    </row>
    <row r="563">
      <c r="G563" s="17" t="n"/>
    </row>
    <row r="564">
      <c r="G564" s="17" t="n"/>
    </row>
    <row r="565">
      <c r="G565" s="17" t="n"/>
    </row>
    <row r="566">
      <c r="G566" s="17" t="n"/>
    </row>
    <row r="567">
      <c r="G567" s="17" t="n"/>
    </row>
    <row r="568">
      <c r="G568" s="17" t="n"/>
    </row>
    <row r="569">
      <c r="G569" s="17" t="n"/>
    </row>
    <row r="570">
      <c r="G570" s="17" t="n"/>
    </row>
    <row r="571">
      <c r="G571" s="17" t="n"/>
    </row>
    <row r="572">
      <c r="G572" s="17" t="n"/>
    </row>
    <row r="573">
      <c r="G573" s="17" t="n"/>
    </row>
    <row r="574">
      <c r="G574" s="17" t="n"/>
    </row>
    <row r="575">
      <c r="G575" s="17" t="n"/>
    </row>
    <row r="576">
      <c r="G576" s="17" t="n"/>
    </row>
    <row r="577">
      <c r="G577" s="17" t="n"/>
    </row>
    <row r="578">
      <c r="G578" s="17" t="n"/>
    </row>
    <row r="579">
      <c r="G579" s="17" t="n"/>
    </row>
    <row r="580">
      <c r="G580" s="17" t="n"/>
    </row>
    <row r="581">
      <c r="G581" s="17" t="n"/>
    </row>
    <row r="582">
      <c r="G582" s="17" t="n"/>
    </row>
    <row r="583">
      <c r="G583" s="17" t="n"/>
    </row>
    <row r="584">
      <c r="G584" s="17" t="n"/>
    </row>
    <row r="585">
      <c r="G585" s="17" t="n"/>
    </row>
    <row r="586">
      <c r="G586" s="17" t="n"/>
    </row>
    <row r="587">
      <c r="G587" s="17" t="n"/>
    </row>
    <row r="588">
      <c r="G588" s="17" t="n"/>
    </row>
    <row r="589">
      <c r="G589" s="17" t="n"/>
    </row>
    <row r="590">
      <c r="G590" s="17" t="n"/>
    </row>
    <row r="591">
      <c r="G591" s="17" t="n"/>
    </row>
    <row r="592">
      <c r="G592" s="17" t="n"/>
    </row>
    <row r="593">
      <c r="G593" s="17" t="n"/>
    </row>
    <row r="594">
      <c r="G594" s="17" t="n"/>
    </row>
    <row r="595">
      <c r="G595" s="17" t="n"/>
    </row>
    <row r="596">
      <c r="G596" s="17" t="n"/>
    </row>
    <row r="597">
      <c r="G597" s="17" t="n"/>
    </row>
    <row r="598">
      <c r="G598" s="17" t="n"/>
    </row>
    <row r="599">
      <c r="G599" s="17" t="n"/>
    </row>
    <row r="600">
      <c r="G600" s="17" t="n"/>
    </row>
    <row r="601">
      <c r="G601" s="17" t="n"/>
    </row>
    <row r="602">
      <c r="G602" s="17" t="n"/>
    </row>
    <row r="603">
      <c r="G603" s="17" t="n"/>
    </row>
    <row r="604">
      <c r="G604" s="17" t="n"/>
    </row>
    <row r="605">
      <c r="G605" s="17" t="n"/>
    </row>
    <row r="606">
      <c r="G606" s="17" t="n"/>
    </row>
    <row r="607">
      <c r="G607" s="17" t="n"/>
    </row>
    <row r="608">
      <c r="G608" s="17" t="n"/>
    </row>
    <row r="609">
      <c r="G609" s="17" t="n"/>
    </row>
    <row r="610">
      <c r="G610" s="17" t="n"/>
    </row>
    <row r="611">
      <c r="G611" s="17" t="n"/>
    </row>
    <row r="612">
      <c r="G612" s="17" t="n"/>
    </row>
    <row r="613">
      <c r="G613" s="17" t="n"/>
    </row>
    <row r="614">
      <c r="G614" s="17" t="n"/>
    </row>
    <row r="615">
      <c r="G615" s="17" t="n"/>
    </row>
    <row r="616">
      <c r="G616" s="17" t="n"/>
    </row>
    <row r="617">
      <c r="G617" s="17" t="n"/>
    </row>
    <row r="618">
      <c r="G618" s="17" t="n"/>
    </row>
    <row r="619">
      <c r="G619" s="17" t="n"/>
    </row>
    <row r="620">
      <c r="G620" s="17" t="n"/>
    </row>
    <row r="621">
      <c r="G621" s="17" t="n"/>
    </row>
    <row r="622">
      <c r="G622" s="17" t="n"/>
    </row>
    <row r="623">
      <c r="G623" s="17" t="n"/>
    </row>
    <row r="624">
      <c r="G624" s="17" t="n"/>
    </row>
    <row r="625">
      <c r="G625" s="17" t="n"/>
    </row>
    <row r="626">
      <c r="G626" s="17" t="n"/>
    </row>
    <row r="627">
      <c r="G627" s="17" t="n"/>
    </row>
    <row r="628">
      <c r="G628" s="17" t="n"/>
    </row>
    <row r="629">
      <c r="G629" s="17" t="n"/>
    </row>
    <row r="630">
      <c r="G630" s="17" t="n"/>
    </row>
    <row r="631">
      <c r="G631" s="17" t="n"/>
    </row>
    <row r="632">
      <c r="G632" s="17" t="n"/>
    </row>
    <row r="633">
      <c r="G633" s="17" t="n"/>
    </row>
    <row r="634">
      <c r="G634" s="17" t="n"/>
    </row>
    <row r="635">
      <c r="G635" s="17" t="n"/>
    </row>
    <row r="636">
      <c r="G636" s="17" t="n"/>
    </row>
    <row r="637">
      <c r="G637" s="17" t="n"/>
    </row>
    <row r="638">
      <c r="G638" s="17" t="n"/>
    </row>
    <row r="639">
      <c r="G639" s="17" t="n"/>
    </row>
    <row r="640">
      <c r="G640" s="17" t="n"/>
    </row>
    <row r="641">
      <c r="G641" s="17" t="n"/>
    </row>
    <row r="642">
      <c r="G642" s="17" t="n"/>
    </row>
    <row r="643">
      <c r="G643" s="17" t="n"/>
    </row>
    <row r="644">
      <c r="G644" s="17" t="n"/>
    </row>
    <row r="645">
      <c r="G645" s="17" t="n"/>
    </row>
    <row r="646">
      <c r="G646" s="17" t="n"/>
    </row>
    <row r="647">
      <c r="G647" s="17" t="n"/>
    </row>
    <row r="648">
      <c r="G648" s="17" t="n"/>
    </row>
    <row r="649">
      <c r="G649" s="17" t="n"/>
    </row>
    <row r="650">
      <c r="G650" s="17" t="n"/>
    </row>
    <row r="651">
      <c r="G651" s="17" t="n"/>
    </row>
    <row r="652">
      <c r="G652" s="17" t="n"/>
    </row>
    <row r="653">
      <c r="G653" s="17" t="n"/>
    </row>
    <row r="654">
      <c r="G654" s="17" t="n"/>
    </row>
    <row r="655">
      <c r="G655" s="17" t="n"/>
    </row>
    <row r="656">
      <c r="G656" s="17" t="n"/>
    </row>
    <row r="657">
      <c r="G657" s="17" t="n"/>
    </row>
    <row r="658">
      <c r="G658" s="17" t="n"/>
    </row>
    <row r="659">
      <c r="G659" s="17" t="n"/>
    </row>
    <row r="660">
      <c r="G660" s="17" t="n"/>
    </row>
    <row r="661">
      <c r="G661" s="17" t="n"/>
    </row>
    <row r="662">
      <c r="G662" s="17" t="n"/>
    </row>
    <row r="663">
      <c r="G663" s="17" t="n"/>
    </row>
    <row r="664">
      <c r="G664" s="17" t="n"/>
    </row>
    <row r="665">
      <c r="G665" s="17" t="n"/>
    </row>
    <row r="666">
      <c r="G666" s="17" t="n"/>
    </row>
    <row r="667">
      <c r="G667" s="17" t="n"/>
    </row>
    <row r="668">
      <c r="G668" s="17" t="n"/>
    </row>
    <row r="669">
      <c r="G669" s="17" t="n"/>
    </row>
    <row r="670">
      <c r="G670" s="17" t="n"/>
    </row>
    <row r="671">
      <c r="G671" s="17" t="n"/>
    </row>
    <row r="672">
      <c r="G672" s="17" t="n"/>
    </row>
    <row r="673">
      <c r="G673" s="17" t="n"/>
    </row>
    <row r="674">
      <c r="G674" s="17" t="n"/>
    </row>
    <row r="675">
      <c r="G675" s="17" t="n"/>
    </row>
    <row r="676">
      <c r="G676" s="17" t="n"/>
    </row>
    <row r="677">
      <c r="G677" s="17" t="n"/>
    </row>
    <row r="678">
      <c r="G678" s="17" t="n"/>
    </row>
    <row r="679">
      <c r="G679" s="17" t="n"/>
    </row>
    <row r="680">
      <c r="G680" s="17" t="n"/>
    </row>
    <row r="681">
      <c r="G681" s="17" t="n"/>
    </row>
    <row r="682">
      <c r="G682" s="17" t="n"/>
    </row>
    <row r="683">
      <c r="G683" s="17" t="n"/>
    </row>
    <row r="684">
      <c r="G684" s="17" t="n"/>
    </row>
    <row r="685">
      <c r="G685" s="17" t="n"/>
    </row>
    <row r="686">
      <c r="G686" s="17" t="n"/>
    </row>
    <row r="687">
      <c r="G687" s="17" t="n"/>
    </row>
    <row r="688">
      <c r="G688" s="17" t="n"/>
    </row>
    <row r="689">
      <c r="G689" s="17" t="n"/>
    </row>
    <row r="690">
      <c r="G690" s="17" t="n"/>
    </row>
    <row r="691">
      <c r="G691" s="17" t="n"/>
    </row>
    <row r="692">
      <c r="G692" s="17" t="n"/>
    </row>
    <row r="693">
      <c r="G693" s="17" t="n"/>
    </row>
    <row r="694">
      <c r="G694" s="17" t="n"/>
    </row>
    <row r="695">
      <c r="G695" s="17" t="n"/>
    </row>
    <row r="696">
      <c r="G696" s="17" t="n"/>
    </row>
    <row r="697">
      <c r="G697" s="17" t="n"/>
    </row>
    <row r="698">
      <c r="G698" s="17" t="n"/>
    </row>
    <row r="699">
      <c r="G699" s="17" t="n"/>
    </row>
    <row r="700">
      <c r="G700" s="17" t="n"/>
    </row>
    <row r="701">
      <c r="G701" s="17" t="n"/>
    </row>
    <row r="702">
      <c r="G702" s="17" t="n"/>
    </row>
    <row r="703">
      <c r="G703" s="17" t="n"/>
    </row>
    <row r="704">
      <c r="G704" s="17" t="n"/>
    </row>
    <row r="705">
      <c r="G705" s="17" t="n"/>
    </row>
    <row r="706">
      <c r="G706" s="17" t="n"/>
    </row>
    <row r="707">
      <c r="G707" s="17" t="n"/>
    </row>
    <row r="708">
      <c r="G708" s="17" t="n"/>
    </row>
    <row r="709">
      <c r="G709" s="17" t="n"/>
    </row>
    <row r="710">
      <c r="G710" s="17" t="n"/>
    </row>
    <row r="711">
      <c r="G711" s="17" t="n"/>
    </row>
    <row r="712">
      <c r="G712" s="17" t="n"/>
    </row>
    <row r="713">
      <c r="G713" s="17" t="n"/>
    </row>
    <row r="714">
      <c r="G714" s="17" t="n"/>
    </row>
    <row r="715">
      <c r="G715" s="17" t="n"/>
    </row>
    <row r="716">
      <c r="G716" s="17" t="n"/>
    </row>
    <row r="717">
      <c r="G717" s="17" t="n"/>
    </row>
    <row r="718">
      <c r="G718" s="17" t="n"/>
    </row>
    <row r="719">
      <c r="G719" s="17" t="n"/>
    </row>
    <row r="720">
      <c r="G720" s="17" t="n"/>
    </row>
    <row r="721">
      <c r="G721" s="17" t="n"/>
    </row>
    <row r="722">
      <c r="G722" s="17" t="n"/>
    </row>
    <row r="723">
      <c r="G723" s="17" t="n"/>
    </row>
    <row r="724">
      <c r="G724" s="17" t="n"/>
    </row>
    <row r="725">
      <c r="G725" s="17" t="n"/>
    </row>
    <row r="726">
      <c r="G726" s="17" t="n"/>
    </row>
    <row r="727">
      <c r="G727" s="17" t="n"/>
    </row>
    <row r="728">
      <c r="G728" s="17" t="n"/>
    </row>
    <row r="729">
      <c r="G729" s="17" t="n"/>
    </row>
    <row r="730">
      <c r="G730" s="17" t="n"/>
    </row>
    <row r="731">
      <c r="G731" s="17" t="n"/>
    </row>
    <row r="732">
      <c r="G732" s="17" t="n"/>
    </row>
    <row r="733">
      <c r="G733" s="17" t="n"/>
    </row>
    <row r="734">
      <c r="G734" s="17" t="n"/>
    </row>
    <row r="735">
      <c r="G735" s="17" t="n"/>
    </row>
    <row r="736">
      <c r="G736" s="17" t="n"/>
    </row>
    <row r="737">
      <c r="G737" s="17" t="n"/>
    </row>
    <row r="738">
      <c r="G738" s="17" t="n"/>
    </row>
    <row r="739">
      <c r="G739" s="17" t="n"/>
    </row>
    <row r="740">
      <c r="G740" s="17" t="n"/>
    </row>
    <row r="741">
      <c r="G741" s="17" t="n"/>
    </row>
    <row r="742">
      <c r="G742" s="17" t="n"/>
    </row>
    <row r="743">
      <c r="G743" s="17" t="n"/>
    </row>
    <row r="744">
      <c r="G744" s="17" t="n"/>
    </row>
    <row r="745">
      <c r="G745" s="17" t="n"/>
    </row>
    <row r="746">
      <c r="G746" s="17" t="n"/>
    </row>
    <row r="747">
      <c r="G747" s="17" t="n"/>
    </row>
    <row r="748">
      <c r="G748" s="17" t="n"/>
    </row>
    <row r="749">
      <c r="G749" s="17" t="n"/>
    </row>
    <row r="750">
      <c r="G750" s="17" t="n"/>
    </row>
    <row r="751">
      <c r="G751" s="17" t="n"/>
    </row>
    <row r="752">
      <c r="G752" s="17" t="n"/>
    </row>
    <row r="753">
      <c r="G753" s="17" t="n"/>
    </row>
    <row r="754">
      <c r="G754" s="17" t="n"/>
    </row>
    <row r="755">
      <c r="G755" s="17" t="n"/>
    </row>
    <row r="756">
      <c r="G756" s="17" t="n"/>
    </row>
    <row r="757">
      <c r="G757" s="17" t="n"/>
    </row>
    <row r="758">
      <c r="G758" s="17" t="n"/>
    </row>
    <row r="759">
      <c r="G759" s="17" t="n"/>
    </row>
    <row r="760">
      <c r="G760" s="17" t="n"/>
    </row>
    <row r="761">
      <c r="G761" s="17" t="n"/>
    </row>
    <row r="762">
      <c r="G762" s="17" t="n"/>
    </row>
    <row r="763">
      <c r="G763" s="17" t="n"/>
    </row>
    <row r="764">
      <c r="G764" s="17" t="n"/>
    </row>
    <row r="765">
      <c r="G765" s="17" t="n"/>
    </row>
    <row r="766">
      <c r="G766" s="17" t="n"/>
    </row>
    <row r="767">
      <c r="G767" s="17" t="n"/>
    </row>
    <row r="768">
      <c r="G768" s="17" t="n"/>
    </row>
    <row r="769">
      <c r="G769" s="17" t="n"/>
    </row>
    <row r="770">
      <c r="G770" s="17" t="n"/>
    </row>
    <row r="771">
      <c r="G771" s="17" t="n"/>
    </row>
    <row r="772">
      <c r="G772" s="17" t="n"/>
    </row>
    <row r="773">
      <c r="G773" s="17" t="n"/>
    </row>
    <row r="774">
      <c r="G774" s="17" t="n"/>
    </row>
    <row r="775">
      <c r="G775" s="17" t="n"/>
    </row>
    <row r="776">
      <c r="G776" s="17" t="n"/>
    </row>
    <row r="777">
      <c r="G777" s="17" t="n"/>
    </row>
    <row r="778">
      <c r="G778" s="17" t="n"/>
    </row>
    <row r="779">
      <c r="G779" s="17" t="n"/>
    </row>
    <row r="780">
      <c r="G780" s="17" t="n"/>
    </row>
    <row r="781">
      <c r="G781" s="17" t="n"/>
    </row>
    <row r="782">
      <c r="G782" s="17" t="n"/>
    </row>
    <row r="783">
      <c r="G783" s="17" t="n"/>
    </row>
    <row r="784">
      <c r="G784" s="17" t="n"/>
    </row>
    <row r="785">
      <c r="G785" s="17" t="n"/>
    </row>
    <row r="786">
      <c r="G786" s="17" t="n"/>
    </row>
    <row r="787">
      <c r="G787" s="17" t="n"/>
    </row>
    <row r="788">
      <c r="G788" s="17" t="n"/>
    </row>
    <row r="789">
      <c r="G789" s="17" t="n"/>
    </row>
    <row r="790">
      <c r="G790" s="17" t="n"/>
    </row>
    <row r="791">
      <c r="G791" s="17" t="n"/>
    </row>
    <row r="792">
      <c r="G792" s="17" t="n"/>
    </row>
    <row r="793">
      <c r="G793" s="17" t="n"/>
    </row>
    <row r="794">
      <c r="G794" s="17" t="n"/>
    </row>
    <row r="795">
      <c r="G795" s="17" t="n"/>
    </row>
    <row r="796">
      <c r="G796" s="17" t="n"/>
    </row>
    <row r="797">
      <c r="G797" s="17" t="n"/>
    </row>
    <row r="798">
      <c r="G798" s="17" t="n"/>
    </row>
    <row r="799">
      <c r="G799" s="17" t="n"/>
    </row>
    <row r="800">
      <c r="G800" s="17" t="n"/>
    </row>
    <row r="801">
      <c r="G801" s="17" t="n"/>
    </row>
    <row r="802">
      <c r="G802" s="17" t="n"/>
    </row>
    <row r="803">
      <c r="G803" s="17" t="n"/>
    </row>
    <row r="804">
      <c r="G804" s="17" t="n"/>
    </row>
    <row r="805">
      <c r="G805" s="17" t="n"/>
    </row>
    <row r="806">
      <c r="G806" s="17" t="n"/>
    </row>
    <row r="807">
      <c r="G807" s="17" t="n"/>
    </row>
    <row r="808">
      <c r="G808" s="17" t="n"/>
    </row>
    <row r="809">
      <c r="G809" s="17" t="n"/>
    </row>
    <row r="810">
      <c r="G810" s="17" t="n"/>
    </row>
    <row r="811">
      <c r="G811" s="17" t="n"/>
    </row>
    <row r="812">
      <c r="G812" s="17" t="n"/>
    </row>
    <row r="813">
      <c r="G813" s="17" t="n"/>
    </row>
    <row r="814">
      <c r="G814" s="17" t="n"/>
    </row>
    <row r="815">
      <c r="G815" s="17" t="n"/>
    </row>
    <row r="816">
      <c r="G816" s="17" t="n"/>
    </row>
    <row r="817">
      <c r="G817" s="17" t="n"/>
    </row>
    <row r="818">
      <c r="G818" s="17" t="n"/>
    </row>
    <row r="819">
      <c r="G819" s="17" t="n"/>
    </row>
    <row r="820">
      <c r="G820" s="17" t="n"/>
    </row>
    <row r="821">
      <c r="G821" s="17" t="n"/>
    </row>
    <row r="822">
      <c r="G822" s="17" t="n"/>
    </row>
    <row r="823">
      <c r="G823" s="17" t="n"/>
    </row>
    <row r="824">
      <c r="G824" s="17" t="n"/>
    </row>
    <row r="825">
      <c r="G825" s="17" t="n"/>
    </row>
    <row r="826">
      <c r="G826" s="17" t="n"/>
    </row>
    <row r="827">
      <c r="G827" s="17" t="n"/>
    </row>
    <row r="828">
      <c r="G828" s="17" t="n"/>
    </row>
    <row r="829">
      <c r="G829" s="17" t="n"/>
    </row>
    <row r="830">
      <c r="G830" s="17" t="n"/>
    </row>
    <row r="831">
      <c r="G831" s="17" t="n"/>
    </row>
    <row r="832">
      <c r="G832" s="17" t="n"/>
    </row>
    <row r="833">
      <c r="G833" s="17" t="n"/>
    </row>
    <row r="834">
      <c r="G834" s="17" t="n"/>
    </row>
    <row r="835">
      <c r="G835" s="17" t="n"/>
    </row>
    <row r="836">
      <c r="G836" s="17" t="n"/>
    </row>
    <row r="837">
      <c r="G837" s="17" t="n"/>
    </row>
    <row r="838">
      <c r="G838" s="17" t="n"/>
    </row>
    <row r="839">
      <c r="G839" s="17" t="n"/>
    </row>
    <row r="840">
      <c r="G840" s="17" t="n"/>
    </row>
    <row r="841">
      <c r="G841" s="17" t="n"/>
    </row>
    <row r="842">
      <c r="G842" s="17" t="n"/>
    </row>
    <row r="843">
      <c r="G843" s="17" t="n"/>
    </row>
    <row r="844">
      <c r="G844" s="17" t="n"/>
    </row>
    <row r="845">
      <c r="G845" s="17" t="n"/>
    </row>
    <row r="846">
      <c r="G846" s="17" t="n"/>
    </row>
    <row r="847">
      <c r="G847" s="17" t="n"/>
    </row>
    <row r="848">
      <c r="G848" s="17" t="n"/>
    </row>
    <row r="849">
      <c r="G849" s="17" t="n"/>
    </row>
    <row r="850">
      <c r="G850" s="17" t="n"/>
    </row>
    <row r="851">
      <c r="G851" s="17" t="n"/>
    </row>
    <row r="852">
      <c r="G852" s="17" t="n"/>
    </row>
    <row r="853">
      <c r="G853" s="17" t="n"/>
    </row>
    <row r="854">
      <c r="G854" s="17" t="n"/>
    </row>
    <row r="855">
      <c r="G855" s="17" t="n"/>
    </row>
    <row r="856">
      <c r="G856" s="17" t="n"/>
    </row>
    <row r="857">
      <c r="G857" s="17" t="n"/>
    </row>
    <row r="858">
      <c r="G858" s="17" t="n"/>
    </row>
    <row r="859">
      <c r="G859" s="17" t="n"/>
    </row>
    <row r="860">
      <c r="G860" s="17" t="n"/>
    </row>
    <row r="861">
      <c r="G861" s="17" t="n"/>
    </row>
    <row r="862">
      <c r="G862" s="17" t="n"/>
    </row>
    <row r="863">
      <c r="G863" s="17" t="n"/>
    </row>
    <row r="864">
      <c r="G864" s="17" t="n"/>
    </row>
    <row r="865">
      <c r="G865" s="17" t="n"/>
    </row>
    <row r="866">
      <c r="G866" s="17" t="n"/>
    </row>
    <row r="867">
      <c r="G867" s="17" t="n"/>
    </row>
    <row r="868">
      <c r="G868" s="17" t="n"/>
    </row>
    <row r="869">
      <c r="G869" s="17" t="n"/>
    </row>
    <row r="870">
      <c r="G870" s="17" t="n"/>
    </row>
    <row r="871">
      <c r="G871" s="17" t="n"/>
    </row>
    <row r="872">
      <c r="G872" s="17" t="n"/>
    </row>
    <row r="873">
      <c r="G873" s="17" t="n"/>
    </row>
    <row r="874">
      <c r="G874" s="17" t="n"/>
    </row>
    <row r="875">
      <c r="G875" s="17" t="n"/>
    </row>
    <row r="876">
      <c r="G876" s="17" t="n"/>
    </row>
    <row r="877">
      <c r="G877" s="17" t="n"/>
    </row>
    <row r="878">
      <c r="G878" s="17" t="n"/>
    </row>
    <row r="879">
      <c r="G879" s="17" t="n"/>
    </row>
    <row r="880">
      <c r="G880" s="17" t="n"/>
    </row>
    <row r="881">
      <c r="G881" s="17" t="n"/>
    </row>
    <row r="882">
      <c r="G882" s="17" t="n"/>
    </row>
    <row r="883">
      <c r="G883" s="17" t="n"/>
    </row>
    <row r="884">
      <c r="G884" s="17" t="n"/>
    </row>
    <row r="885">
      <c r="G885" s="17" t="n"/>
    </row>
    <row r="886">
      <c r="G886" s="17" t="n"/>
    </row>
    <row r="887">
      <c r="G887" s="17" t="n"/>
    </row>
    <row r="888">
      <c r="G888" s="17" t="n"/>
    </row>
    <row r="889">
      <c r="G889" s="17" t="n"/>
    </row>
    <row r="890">
      <c r="G890" s="17" t="n"/>
    </row>
    <row r="891">
      <c r="G891" s="17" t="n"/>
    </row>
    <row r="892">
      <c r="G892" s="17" t="n"/>
    </row>
    <row r="893">
      <c r="G893" s="17" t="n"/>
    </row>
    <row r="894">
      <c r="G894" s="17" t="n"/>
    </row>
    <row r="895">
      <c r="G895" s="17" t="n"/>
    </row>
    <row r="896">
      <c r="G896" s="17" t="n"/>
    </row>
    <row r="897">
      <c r="G897" s="17" t="n"/>
    </row>
    <row r="898">
      <c r="G898" s="17" t="n"/>
    </row>
    <row r="899">
      <c r="G899" s="17" t="n"/>
    </row>
    <row r="900">
      <c r="G900" s="17" t="n"/>
    </row>
    <row r="901">
      <c r="G901" s="17" t="n"/>
    </row>
    <row r="902">
      <c r="G902" s="17" t="n"/>
    </row>
    <row r="903">
      <c r="G903" s="17" t="n"/>
    </row>
    <row r="904">
      <c r="G904" s="17" t="n"/>
    </row>
    <row r="905">
      <c r="G905" s="17" t="n"/>
    </row>
    <row r="906">
      <c r="G906" s="17" t="n"/>
    </row>
    <row r="907">
      <c r="G907" s="17" t="n"/>
    </row>
    <row r="908">
      <c r="G908" s="17" t="n"/>
    </row>
    <row r="909">
      <c r="G909" s="17" t="n"/>
    </row>
    <row r="910">
      <c r="G910" s="17" t="n"/>
    </row>
    <row r="911">
      <c r="G911" s="17" t="n"/>
    </row>
    <row r="912">
      <c r="G912" s="17" t="n"/>
    </row>
    <row r="913">
      <c r="G913" s="17" t="n"/>
    </row>
    <row r="914">
      <c r="G914" s="17" t="n"/>
    </row>
    <row r="915">
      <c r="G915" s="17" t="n"/>
    </row>
    <row r="916">
      <c r="G916" s="17" t="n"/>
    </row>
    <row r="917">
      <c r="G917" s="17" t="n"/>
    </row>
    <row r="918">
      <c r="G918" s="17" t="n"/>
    </row>
    <row r="919">
      <c r="G919" s="17" t="n"/>
    </row>
    <row r="920">
      <c r="G920" s="17" t="n"/>
    </row>
    <row r="921">
      <c r="G921" s="17" t="n"/>
    </row>
    <row r="922">
      <c r="G922" s="17" t="n"/>
    </row>
    <row r="923">
      <c r="G923" s="17" t="n"/>
    </row>
    <row r="924">
      <c r="G924" s="17" t="n"/>
    </row>
    <row r="925">
      <c r="G925" s="17" t="n"/>
    </row>
    <row r="926">
      <c r="G926" s="17" t="n"/>
    </row>
    <row r="927">
      <c r="G927" s="17" t="n"/>
    </row>
    <row r="928">
      <c r="G928" s="17" t="n"/>
    </row>
    <row r="929">
      <c r="G929" s="17" t="n"/>
    </row>
    <row r="930">
      <c r="G930" s="17" t="n"/>
    </row>
    <row r="931">
      <c r="G931" s="17" t="n"/>
    </row>
    <row r="932">
      <c r="G932" s="17" t="n"/>
    </row>
    <row r="933">
      <c r="G933" s="17" t="n"/>
    </row>
    <row r="934">
      <c r="G934" s="17" t="n"/>
    </row>
    <row r="935">
      <c r="G935" s="17" t="n"/>
    </row>
    <row r="936">
      <c r="G936" s="17" t="n"/>
    </row>
    <row r="937">
      <c r="G937" s="17" t="n"/>
    </row>
    <row r="938">
      <c r="G938" s="17" t="n"/>
    </row>
    <row r="939">
      <c r="G939" s="17" t="n"/>
    </row>
    <row r="940">
      <c r="G940" s="17" t="n"/>
    </row>
    <row r="941">
      <c r="G941" s="17" t="n"/>
    </row>
    <row r="942">
      <c r="G942" s="17" t="n"/>
    </row>
    <row r="943">
      <c r="G943" s="17" t="n"/>
    </row>
    <row r="944">
      <c r="G944" s="17" t="n"/>
    </row>
    <row r="945">
      <c r="G945" s="17" t="n"/>
    </row>
    <row r="946">
      <c r="G946" s="17" t="n"/>
    </row>
    <row r="947">
      <c r="G947" s="17" t="n"/>
    </row>
    <row r="948">
      <c r="G948" s="17" t="n"/>
    </row>
    <row r="949">
      <c r="G949" s="17" t="n"/>
    </row>
    <row r="950">
      <c r="G950" s="17" t="n"/>
    </row>
    <row r="951">
      <c r="G951" s="17" t="n"/>
    </row>
    <row r="952">
      <c r="G952" s="17" t="n"/>
    </row>
    <row r="953">
      <c r="G953" s="17" t="n"/>
    </row>
    <row r="954">
      <c r="G954" s="17" t="n"/>
    </row>
    <row r="955">
      <c r="G955" s="17" t="n"/>
    </row>
    <row r="956">
      <c r="G956" s="17" t="n"/>
    </row>
    <row r="957">
      <c r="G957" s="17" t="n"/>
    </row>
    <row r="958">
      <c r="G958" s="17" t="n"/>
    </row>
    <row r="959">
      <c r="G959" s="17" t="n"/>
    </row>
    <row r="960">
      <c r="G960" s="17" t="n"/>
    </row>
    <row r="961">
      <c r="G961" s="17" t="n"/>
    </row>
    <row r="962">
      <c r="G962" s="17" t="n"/>
    </row>
    <row r="963">
      <c r="G963" s="17" t="n"/>
    </row>
    <row r="964">
      <c r="G964" s="17" t="n"/>
    </row>
    <row r="965">
      <c r="G965" s="17" t="n"/>
    </row>
    <row r="966">
      <c r="G966" s="17" t="n"/>
    </row>
    <row r="967">
      <c r="G967" s="17" t="n"/>
    </row>
    <row r="968">
      <c r="G968" s="17" t="n"/>
    </row>
    <row r="969">
      <c r="G969" s="17" t="n"/>
    </row>
    <row r="970">
      <c r="G970" s="17" t="n"/>
    </row>
    <row r="971">
      <c r="G971" s="17" t="n"/>
    </row>
    <row r="972">
      <c r="G972" s="17" t="n"/>
    </row>
    <row r="973">
      <c r="G973" s="17" t="n"/>
    </row>
    <row r="974">
      <c r="G974" s="17" t="n"/>
    </row>
    <row r="975">
      <c r="G975" s="17" t="n"/>
    </row>
    <row r="976">
      <c r="G976" s="17" t="n"/>
    </row>
    <row r="977">
      <c r="G977" s="17" t="n"/>
    </row>
    <row r="978">
      <c r="G978" s="17" t="n"/>
    </row>
    <row r="979">
      <c r="G979" s="17" t="n"/>
    </row>
    <row r="980">
      <c r="G980" s="17" t="n"/>
    </row>
    <row r="981">
      <c r="G981" s="17" t="n"/>
    </row>
    <row r="982">
      <c r="G982" s="17" t="n"/>
    </row>
    <row r="983">
      <c r="G983" s="17" t="n"/>
    </row>
    <row r="984">
      <c r="G984" s="17" t="n"/>
    </row>
    <row r="985">
      <c r="G985" s="17" t="n"/>
    </row>
    <row r="986">
      <c r="G986" s="17" t="n"/>
    </row>
    <row r="987">
      <c r="G987" s="17" t="n"/>
    </row>
    <row r="988">
      <c r="G988" s="17" t="n"/>
    </row>
    <row r="989">
      <c r="G989" s="17" t="n"/>
    </row>
    <row r="990">
      <c r="G990" s="17" t="n"/>
    </row>
    <row r="991">
      <c r="G991" s="17" t="n"/>
    </row>
    <row r="992">
      <c r="G992" s="17" t="n"/>
    </row>
    <row r="993">
      <c r="G993" s="17" t="n"/>
    </row>
    <row r="994">
      <c r="G994" s="17" t="n"/>
    </row>
    <row r="995">
      <c r="G995" s="17" t="n"/>
    </row>
    <row r="996">
      <c r="G996" s="17" t="n"/>
    </row>
    <row r="997">
      <c r="G997" s="17" t="n"/>
    </row>
    <row r="998">
      <c r="G998" s="17" t="n"/>
    </row>
    <row r="999">
      <c r="G999" s="17" t="n"/>
    </row>
    <row r="1000">
      <c r="G1000" s="17" t="n"/>
    </row>
  </sheetData>
  <mergeCells count="2">
    <mergeCell ref="A1:I1"/>
    <mergeCell ref="A2:I2"/>
  </mergeCells>
  <dataValidations count="3">
    <dataValidation sqref="E5:E1000" showDropDown="0" showInputMessage="0" showErrorMessage="0" allowBlank="1" type="list">
      <formula1>"Medical,School,Childcare,Clothing,Activities,Travel,Other"</formula1>
    </dataValidation>
    <dataValidation sqref="H5:H1000" showDropDown="0" showInputMessage="0" showErrorMessage="0" allowBlank="1" type="list">
      <formula1>"Parent A,Parent B,Split"</formula1>
    </dataValidation>
    <dataValidation sqref="I5:I1000" showDropDown="0" showInputMessage="0" showErrorMessage="0" allowBlank="1" type="list">
      <formula1>"Not Requested,Pending,Paid,Refused"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4EDE6"/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44" customWidth="1" min="4" max="4"/>
    <col width="18" customWidth="1" min="5" max="5"/>
    <col width="16" customWidth="1" min="6" max="6"/>
  </cols>
  <sheetData>
    <row r="1" ht="24" customHeight="1">
      <c r="A1" s="1" t="inlineStr">
        <is>
          <t>Court Ready™ · Witness</t>
        </is>
      </c>
    </row>
    <row r="2">
      <c r="A2" s="3" t="inlineStr">
        <is>
          <t>People who saw or heard events firsthand. Your attorney will ask for this list.</t>
        </is>
      </c>
    </row>
    <row r="3">
      <c r="A3" s="21" t="inlineStr">
        <is>
          <t>SAMPLE DATA — a lived-in example for reference. Your real workbook starts empty; delete these rows to begin.</t>
        </is>
      </c>
    </row>
    <row r="4">
      <c r="A4" s="12" t="inlineStr">
        <is>
          <t>Name</t>
        </is>
      </c>
      <c r="B4" s="12" t="inlineStr">
        <is>
          <t>Relationship</t>
        </is>
      </c>
      <c r="C4" s="12" t="inlineStr">
        <is>
          <t>Contact</t>
        </is>
      </c>
      <c r="D4" s="12" t="inlineStr">
        <is>
          <t>What They Witnessed — facts only</t>
        </is>
      </c>
      <c r="E4" s="12" t="inlineStr">
        <is>
          <t>Linked Event IDs</t>
        </is>
      </c>
      <c r="F4" s="12" t="inlineStr">
        <is>
          <t>Willing to Testify?</t>
        </is>
      </c>
    </row>
    <row r="5">
      <c r="A5" s="22" t="inlineStr">
        <is>
          <t>Jane Neighbor</t>
        </is>
      </c>
      <c r="B5" s="22" t="inlineStr">
        <is>
          <t>Neighbor</t>
        </is>
      </c>
      <c r="C5" s="22" t="inlineStr">
        <is>
          <t>555-0100</t>
        </is>
      </c>
      <c r="D5" s="22" t="inlineStr">
        <is>
          <t>Observed the 2026-08-01 exchange and Parent B's late arrival from her driveway</t>
        </is>
      </c>
      <c r="E5" s="22" t="inlineStr">
        <is>
          <t>EVT-0005</t>
        </is>
      </c>
      <c r="F5" s="22" t="inlineStr">
        <is>
          <t>Yes</t>
        </is>
      </c>
    </row>
  </sheetData>
  <mergeCells count="2">
    <mergeCell ref="A2:F2"/>
    <mergeCell ref="A1:F1"/>
  </mergeCells>
  <dataValidations count="1">
    <dataValidation sqref="F5:F1000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4EDE6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6" customWidth="1" min="4" max="4"/>
  </cols>
  <sheetData>
    <row r="1" ht="24" customHeight="1">
      <c r="A1" s="1" t="inlineStr">
        <is>
          <t>Court Ready™ · Custody Schedule</t>
        </is>
      </c>
    </row>
    <row r="2">
      <c r="A2" s="3" t="inlineStr">
        <is>
          <t>Your baseline weekly pattern and order details. Everything the Exchange Log flags is measured against this.</t>
        </is>
      </c>
    </row>
    <row r="4">
      <c r="A4" s="18" t="inlineStr">
        <is>
          <t>Day</t>
        </is>
      </c>
      <c r="B4" s="18" t="inlineStr">
        <is>
          <t>Custody</t>
        </is>
      </c>
      <c r="C4" s="18" t="inlineStr">
        <is>
          <t>Exchange Time</t>
        </is>
      </c>
      <c r="D4" s="18" t="inlineStr">
        <is>
          <t>Exchange Location</t>
        </is>
      </c>
    </row>
    <row r="5">
      <c r="A5" s="6" t="inlineStr">
        <is>
          <t>Sunday</t>
        </is>
      </c>
      <c r="B5" s="19" t="inlineStr">
        <is>
          <t>Mine</t>
        </is>
      </c>
      <c r="C5" s="19" t="inlineStr">
        <is>
          <t>5:00 PM</t>
        </is>
      </c>
      <c r="D5" s="19" t="inlineStr">
        <is>
          <t>Parent A residence</t>
        </is>
      </c>
    </row>
    <row r="6">
      <c r="A6" s="6" t="inlineStr">
        <is>
          <t>Monday</t>
        </is>
      </c>
      <c r="B6" s="19" t="inlineStr">
        <is>
          <t>Mine</t>
        </is>
      </c>
      <c r="C6" s="19" t="inlineStr">
        <is>
          <t>5:00 PM</t>
        </is>
      </c>
      <c r="D6" s="19" t="inlineStr">
        <is>
          <t>Parent A residence</t>
        </is>
      </c>
    </row>
    <row r="7">
      <c r="A7" s="6" t="inlineStr">
        <is>
          <t>Tuesday</t>
        </is>
      </c>
      <c r="B7" s="19" t="inlineStr">
        <is>
          <t>Other Parent</t>
        </is>
      </c>
      <c r="C7" s="19" t="inlineStr">
        <is>
          <t>5:00 PM</t>
        </is>
      </c>
      <c r="D7" s="19" t="inlineStr">
        <is>
          <t>Parent A residence</t>
        </is>
      </c>
    </row>
    <row r="8">
      <c r="A8" s="6" t="inlineStr">
        <is>
          <t>Wednesday</t>
        </is>
      </c>
      <c r="B8" s="19" t="inlineStr">
        <is>
          <t>Other Parent</t>
        </is>
      </c>
      <c r="C8" s="19" t="inlineStr">
        <is>
          <t>5:00 PM</t>
        </is>
      </c>
      <c r="D8" s="19" t="inlineStr">
        <is>
          <t>Parent A residence</t>
        </is>
      </c>
    </row>
    <row r="9">
      <c r="A9" s="6" t="inlineStr">
        <is>
          <t>Thursday</t>
        </is>
      </c>
      <c r="B9" s="19" t="inlineStr">
        <is>
          <t>Mine</t>
        </is>
      </c>
      <c r="C9" s="19" t="inlineStr">
        <is>
          <t>5:00 PM</t>
        </is>
      </c>
      <c r="D9" s="19" t="inlineStr">
        <is>
          <t>Parent A residence</t>
        </is>
      </c>
    </row>
    <row r="10">
      <c r="A10" s="6" t="inlineStr">
        <is>
          <t>Friday</t>
        </is>
      </c>
      <c r="B10" s="19" t="inlineStr">
        <is>
          <t>Mine</t>
        </is>
      </c>
      <c r="C10" s="19" t="inlineStr">
        <is>
          <t>5:00 PM</t>
        </is>
      </c>
      <c r="D10" s="19" t="inlineStr">
        <is>
          <t>Parent A residence</t>
        </is>
      </c>
    </row>
    <row r="11">
      <c r="A11" s="6" t="inlineStr">
        <is>
          <t>Saturday</t>
        </is>
      </c>
      <c r="B11" s="19" t="inlineStr">
        <is>
          <t>Other Parent</t>
        </is>
      </c>
      <c r="C11" s="19" t="inlineStr">
        <is>
          <t>5:00 PM</t>
        </is>
      </c>
      <c r="D11" s="19" t="inlineStr">
        <is>
          <t>Parent A residence</t>
        </is>
      </c>
    </row>
    <row r="13">
      <c r="A13" s="5" t="inlineStr">
        <is>
          <t>ORDER / AGREEMENT</t>
        </is>
      </c>
    </row>
    <row r="14">
      <c r="A14" s="6" t="inlineStr">
        <is>
          <t>Schedule source</t>
        </is>
      </c>
      <c r="B14" s="19" t="inlineStr">
        <is>
          <t>Court Order</t>
        </is>
      </c>
    </row>
    <row r="15">
      <c r="A15" s="6" t="inlineStr">
        <is>
          <t>Order / agreement date</t>
        </is>
      </c>
      <c r="B15" s="19" t="inlineStr">
        <is>
          <t>2026-01-15</t>
        </is>
      </c>
    </row>
    <row r="16">
      <c r="A16" s="6" t="inlineStr">
        <is>
          <t>Default exchange time</t>
        </is>
      </c>
      <c r="B16" s="19" t="inlineStr">
        <is>
          <t>5:00 PM</t>
        </is>
      </c>
    </row>
    <row r="17">
      <c r="A17" s="6" t="inlineStr">
        <is>
          <t>Default exchange location</t>
        </is>
      </c>
      <c r="B17" s="19" t="inlineStr">
        <is>
          <t>Parent A residence</t>
        </is>
      </c>
    </row>
    <row r="19">
      <c r="A19" s="8" t="inlineStr">
        <is>
          <t>The italic values are examples — replace with your own schedule.</t>
        </is>
      </c>
    </row>
  </sheetData>
  <mergeCells count="2">
    <mergeCell ref="A1:D1"/>
    <mergeCell ref="A2:D2"/>
  </mergeCells>
  <dataValidations count="2">
    <dataValidation sqref="B5:B11" showDropDown="0" showInputMessage="0" showErrorMessage="0" allowBlank="1" type="list">
      <formula1>"Mine,Other Parent"</formula1>
    </dataValidation>
    <dataValidation sqref="B14" showDropDown="0" showInputMessage="0" showErrorMessage="0" allowBlank="1" type="list">
      <formula1>"Court Order,Written Agreement,Verbal Agreement,Temporary Order,No Order — Documenting Actual"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C2F26"/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44" customWidth="1" min="4" max="4"/>
    <col width="26" customWidth="1" min="5" max="5"/>
    <col width="12" customWidth="1" min="6" max="6"/>
  </cols>
  <sheetData>
    <row r="1" ht="24" customHeight="1">
      <c r="A1" s="1" t="inlineStr">
        <is>
          <t>Court Ready™ · Attorney Log</t>
        </is>
      </c>
    </row>
    <row r="2">
      <c r="A2" s="3" t="inlineStr">
        <is>
          <t>PRIVILEGED — attorney-client communication. Keep this OUT of any exhibit binder you hand the court.</t>
        </is>
      </c>
    </row>
    <row r="3">
      <c r="A3" s="20" t="inlineStr">
        <is>
          <t>⚠ PRIVILEGED. This tab is for your eyes and your attorney only — never submit it as evidence.</t>
        </is>
      </c>
    </row>
    <row r="4">
      <c r="A4" s="12" t="inlineStr">
        <is>
          <t>Date</t>
        </is>
      </c>
      <c r="B4" s="12" t="inlineStr">
        <is>
          <t>Type</t>
        </is>
      </c>
      <c r="C4" s="12" t="inlineStr">
        <is>
          <t>Subject</t>
        </is>
      </c>
      <c r="D4" s="12" t="inlineStr">
        <is>
          <t>Notes</t>
        </is>
      </c>
      <c r="E4" s="12" t="inlineStr">
        <is>
          <t>Follow-Up / Next Step</t>
        </is>
      </c>
      <c r="F4" s="12" t="inlineStr">
        <is>
          <t>Follow-Up By</t>
        </is>
      </c>
    </row>
    <row r="5">
      <c r="A5" s="22" t="inlineStr">
        <is>
          <t>2026-08-04</t>
        </is>
      </c>
      <c r="B5" s="22" t="inlineStr">
        <is>
          <t>Email</t>
        </is>
      </c>
      <c r="C5" s="22" t="inlineStr">
        <is>
          <t>Late exchange pattern</t>
        </is>
      </c>
      <c r="D5" s="22" t="inlineStr">
        <is>
          <t>Sent attorney the exchange log showing 3 late arrivals in 3 weeks</t>
        </is>
      </c>
      <c r="E5" s="22" t="inlineStr">
        <is>
          <t>Attorney to advise on modification</t>
        </is>
      </c>
      <c r="F5" s="22" t="inlineStr">
        <is>
          <t>2026-08-11</t>
        </is>
      </c>
    </row>
  </sheetData>
  <mergeCells count="2">
    <mergeCell ref="A2:F2"/>
    <mergeCell ref="A1:F1"/>
  </mergeCells>
  <dataValidations count="1">
    <dataValidation sqref="B5:B1000" showDropDown="0" showInputMessage="0" showErrorMessage="0" allowBlank="1" type="list">
      <formula1>"Meeting,Phone Call,Email,Document,Court Date"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A7167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</cols>
  <sheetData>
    <row r="1" ht="24" customHeight="1">
      <c r="A1" s="1" t="inlineStr">
        <is>
          <t>Court Ready™ · Lists &amp; Setup</t>
        </is>
      </c>
    </row>
    <row r="2">
      <c r="A2" s="3" t="inlineStr">
        <is>
          <t>These feed the dropdowns on the other tabs. Edit only if your case needs different options.</t>
        </is>
      </c>
    </row>
    <row r="4">
      <c r="A4" s="18" t="inlineStr">
        <is>
          <t>Event Types</t>
        </is>
      </c>
      <c r="B4" s="18" t="inlineStr">
        <is>
          <t>Best-Interests Factors</t>
        </is>
      </c>
      <c r="C4" s="18" t="inlineStr">
        <is>
          <t>Notification Methods</t>
        </is>
      </c>
    </row>
    <row r="5">
      <c r="A5" s="6" t="inlineStr">
        <is>
          <t>Exchange</t>
        </is>
      </c>
      <c r="B5" s="6" t="inlineStr">
        <is>
          <t>ST — Stability &amp; Routine</t>
        </is>
      </c>
      <c r="C5" s="6" t="inlineStr">
        <is>
          <t>Text</t>
        </is>
      </c>
    </row>
    <row r="6">
      <c r="A6" s="6" t="inlineStr">
        <is>
          <t>Communication</t>
        </is>
      </c>
      <c r="B6" s="6" t="inlineStr">
        <is>
          <t>PI — Parental Involvement</t>
        </is>
      </c>
      <c r="C6" s="6" t="inlineStr">
        <is>
          <t>Email</t>
        </is>
      </c>
    </row>
    <row r="7">
      <c r="A7" s="6" t="inlineStr">
        <is>
          <t>Medical</t>
        </is>
      </c>
      <c r="B7" s="6" t="inlineStr">
        <is>
          <t>HS — Health &amp; Safety</t>
        </is>
      </c>
      <c r="C7" s="6" t="inlineStr">
        <is>
          <t>Phone Call</t>
        </is>
      </c>
    </row>
    <row r="8">
      <c r="A8" s="6" t="inlineStr">
        <is>
          <t>School</t>
        </is>
      </c>
      <c r="B8" s="6" t="inlineStr">
        <is>
          <t>CC — Co-Parenting Conduct</t>
        </is>
      </c>
      <c r="C8" s="6" t="inlineStr">
        <is>
          <t>In Person</t>
        </is>
      </c>
    </row>
    <row r="9">
      <c r="A9" s="6" t="inlineStr">
        <is>
          <t>Incident</t>
        </is>
      </c>
      <c r="B9" s="6" t="inlineStr">
        <is>
          <t>EW — Emotional Wellbeing</t>
        </is>
      </c>
      <c r="C9" s="6" t="inlineStr">
        <is>
          <t>Co-Parenting App</t>
        </is>
      </c>
    </row>
    <row r="10">
      <c r="A10" s="6" t="inlineStr">
        <is>
          <t>Expense</t>
        </is>
      </c>
      <c r="B10" s="6" t="inlineStr">
        <is>
          <t>ED — Education</t>
        </is>
      </c>
    </row>
    <row r="11">
      <c r="A11" s="6" t="inlineStr">
        <is>
          <t>Decision</t>
        </is>
      </c>
      <c r="B11" s="6" t="inlineStr">
        <is>
          <t>FS — Financial Support</t>
        </is>
      </c>
    </row>
    <row r="12">
      <c r="A12" s="6" t="inlineStr">
        <is>
          <t>Other</t>
        </is>
      </c>
      <c r="B12" s="6" t="inlineStr">
        <is>
          <t>PF — Parental Fitness</t>
        </is>
      </c>
    </row>
    <row r="15">
      <c r="A15" s="5" t="inlineStr">
        <is>
          <t>HOW THIS WORKBOOK WORKS</t>
        </is>
      </c>
    </row>
    <row r="16">
      <c r="A16" s="6" t="inlineStr">
        <is>
          <t>• Type only in white cells. Grey headers and the Dashboard fill or stay fixed.</t>
        </is>
      </c>
    </row>
    <row r="17">
      <c r="A17" s="6" t="inlineStr">
        <is>
          <t>• Every tab has one italic SAMPLE row — delete it when you enter real data.</t>
        </is>
      </c>
    </row>
    <row r="18">
      <c r="A18" s="6" t="inlineStr">
        <is>
          <t>• Event Index is the spine. Specialized tabs (Medical, Expense, …) are for quick entry by category.</t>
        </is>
      </c>
    </row>
    <row r="19">
      <c r="A19" s="6" t="inlineStr">
        <is>
          <t>• The ↦ column jumps you to that event's row on the Event Index. Type the Event ID and it lights up.</t>
        </is>
      </c>
    </row>
    <row r="20">
      <c r="A20" s="6" t="inlineStr">
        <is>
          <t>• The Dashboard counts everything automatically — including factor coverage from Primary + Also Supports.</t>
        </is>
      </c>
    </row>
    <row r="22">
      <c r="A22" s="8" t="inlineStr">
        <is>
          <t>Court Ready™ · Custody Documentation Intelligence System · Vejovis Intelligence Co.™ — organizational framework, not legal advice.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2026-07-27T04:44:57Z</dcterms:created>
  <dcterms:modified xsi:type="dcterms:W3CDTF">2026-07-27T04:44:57Z</dcterms:modified>
</cp:coreProperties>
</file>